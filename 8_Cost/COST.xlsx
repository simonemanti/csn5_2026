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" sheetId="1" r:id="rId5"/>
    <sheet state="visible" name="2_Cost" sheetId="2" r:id="rId6"/>
    <sheet state="visible" name="X-ray Tube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Allowed values: 1 or 2 only.</t>
      </text>
    </comment>
    <comment authorId="0" ref="D100">
      <text>
        <t xml:space="preserve">Automatically set to €0 when a cost item is entered.</t>
      </text>
    </comment>
    <comment authorId="0" ref="D67">
      <text>
        <t xml:space="preserve">Automatically set to €0 when a cost item is entered.</t>
      </text>
    </comment>
    <comment authorId="0" ref="D34">
      <text>
        <t xml:space="preserve">Automatically set to €0 when a cost item is entered.</t>
      </text>
    </comment>
    <comment authorId="0" ref="D92">
      <text>
        <t xml:space="preserve">Automatically set to €0 when a cost item is entered.</t>
      </text>
    </comment>
    <comment authorId="0" ref="D59">
      <text>
        <t xml:space="preserve">Automatically set to €0 when a cost item is entered.</t>
      </text>
    </comment>
    <comment authorId="0" ref="D26">
      <text>
        <t xml:space="preserve">Automatically set to €0 when a cost item is entered.</t>
      </text>
    </comment>
    <comment authorId="0" ref="D84">
      <text>
        <t xml:space="preserve">Automatically set to €0 when a cost item is entered.</t>
      </text>
    </comment>
    <comment authorId="0" ref="D51">
      <text>
        <t xml:space="preserve">Automatically set to €0 when a cost item is entered.</t>
      </text>
    </comment>
    <comment authorId="0" ref="D18">
      <text>
        <t xml:space="preserve">Automatically set to €0 when a cost item is entered.</t>
      </text>
    </comment>
    <comment authorId="0" ref="D76">
      <text>
        <t xml:space="preserve">Automatically set to €0 when a cost item is entered.</t>
      </text>
    </comment>
    <comment authorId="0" ref="D43">
      <text>
        <t xml:space="preserve">Automatically set to €0 when a cost item is entered.</t>
      </text>
    </comment>
    <comment authorId="0" ref="D10">
      <text>
        <t xml:space="preserve">Automatically set to €0 when a cost item is entered.</t>
      </text>
    </comment>
    <comment authorId="0" ref="D101">
      <text>
        <t xml:space="preserve">Automatically set to €0 when a cost item is entered.</t>
      </text>
    </comment>
    <comment authorId="0" ref="D68">
      <text>
        <t xml:space="preserve">Automatically set to €0 when a cost item is entered.</t>
      </text>
    </comment>
    <comment authorId="0" ref="D35">
      <text>
        <t xml:space="preserve">Automatically set to €0 when a cost item is entered.</t>
      </text>
    </comment>
    <comment authorId="0" ref="D2">
      <text>
        <t xml:space="preserve">Automatically set to €0 when a cost item is entered.</t>
      </text>
    </comment>
    <comment authorId="0" ref="D93">
      <text>
        <t xml:space="preserve">Automatically set to €0 when a cost item is entered.</t>
      </text>
    </comment>
    <comment authorId="0" ref="D60">
      <text>
        <t xml:space="preserve">Automatically set to €0 when a cost item is entered.</t>
      </text>
    </comment>
    <comment authorId="0" ref="D27">
      <text>
        <t xml:space="preserve">Automatically set to €0 when a cost item is entered.</t>
      </text>
    </comment>
    <comment authorId="0" ref="D85">
      <text>
        <t xml:space="preserve">Automatically set to €0 when a cost item is entered.</t>
      </text>
    </comment>
    <comment authorId="0" ref="D52">
      <text>
        <t xml:space="preserve">Automatically set to €0 when a cost item is entered.</t>
      </text>
    </comment>
    <comment authorId="0" ref="D19">
      <text>
        <t xml:space="preserve">Automatically set to €0 when a cost item is entered.</t>
      </text>
    </comment>
    <comment authorId="0" ref="D77">
      <text>
        <t xml:space="preserve">Automatically set to €0 when a cost item is entered.</t>
      </text>
    </comment>
    <comment authorId="0" ref="D44">
      <text>
        <t xml:space="preserve">Automatically set to €0 when a cost item is entered.</t>
      </text>
    </comment>
    <comment authorId="0" ref="D102">
      <text>
        <t xml:space="preserve">Automatically set to €0 when a cost item is entered.</t>
      </text>
    </comment>
    <comment authorId="0" ref="D69">
      <text>
        <t xml:space="preserve">Automatically set to €0 when a cost item is entered.</t>
      </text>
    </comment>
    <comment authorId="0" ref="D36">
      <text>
        <t xml:space="preserve">Automatically set to €0 when a cost item is entered.</t>
      </text>
    </comment>
    <comment authorId="0" ref="D3">
      <text>
        <t xml:space="preserve">Automatically set to €0 when a cost item is entered.</t>
      </text>
    </comment>
    <comment authorId="0" ref="D94">
      <text>
        <t xml:space="preserve">Automatically set to €0 when a cost item is entered.</t>
      </text>
    </comment>
    <comment authorId="0" ref="D61">
      <text>
        <t xml:space="preserve">Automatically set to €0 when a cost item is entered.</t>
      </text>
    </comment>
    <comment authorId="0" ref="D28">
      <text>
        <t xml:space="preserve">Automatically set to €0 when a cost item is entered.</t>
      </text>
    </comment>
    <comment authorId="0" ref="D86">
      <text>
        <t xml:space="preserve">Automatically set to €0 when a cost item is entered.</t>
      </text>
    </comment>
    <comment authorId="0" ref="D53">
      <text>
        <t xml:space="preserve">Automatically set to €0 when a cost item is entered.</t>
      </text>
    </comment>
    <comment authorId="0" ref="D20">
      <text>
        <t xml:space="preserve">Automatically set to €0 when a cost item is entered.</t>
      </text>
    </comment>
    <comment authorId="0" ref="D78">
      <text>
        <t xml:space="preserve">Automatically set to €0 when a cost item is entered.</t>
      </text>
    </comment>
    <comment authorId="0" ref="D45">
      <text>
        <t xml:space="preserve">Automatically set to €0 when a cost item is entered.</t>
      </text>
    </comment>
    <comment authorId="0" ref="D103">
      <text>
        <t xml:space="preserve">Automatically set to €0 when a cost item is entered.</t>
      </text>
    </comment>
    <comment authorId="0" ref="D70">
      <text>
        <t xml:space="preserve">Automatically set to €0 when a cost item is entered.</t>
      </text>
    </comment>
    <comment authorId="0" ref="D37">
      <text>
        <t xml:space="preserve">Automatically set to €0 when a cost item is entered.</t>
      </text>
    </comment>
    <comment authorId="0" ref="D4">
      <text>
        <t xml:space="preserve">Automatically set to €0 when a cost item is entered.</t>
      </text>
    </comment>
    <comment authorId="0" ref="D95">
      <text>
        <t xml:space="preserve">Automatically set to €0 when a cost item is entered.</t>
      </text>
    </comment>
    <comment authorId="0" ref="D62">
      <text>
        <t xml:space="preserve">Automatically set to €0 when a cost item is entered.</t>
      </text>
    </comment>
    <comment authorId="0" ref="D29">
      <text>
        <t xml:space="preserve">Automatically set to €0 when a cost item is entered.</t>
      </text>
    </comment>
    <comment authorId="0" ref="D87">
      <text>
        <t xml:space="preserve">Automatically set to €0 when a cost item is entered.</t>
      </text>
    </comment>
    <comment authorId="0" ref="D54">
      <text>
        <t xml:space="preserve">Automatically set to €0 when a cost item is entered.</t>
      </text>
    </comment>
    <comment authorId="0" ref="D21">
      <text>
        <t xml:space="preserve">Automatically set to €0 when a cost item is entered.</t>
      </text>
    </comment>
    <comment authorId="0" ref="D79">
      <text>
        <t xml:space="preserve">Automatically set to €0 when a cost item is entered.</t>
      </text>
    </comment>
    <comment authorId="0" ref="D46">
      <text>
        <t xml:space="preserve">Automatically set to €0 when a cost item is entered.</t>
      </text>
    </comment>
    <comment authorId="0" ref="D104">
      <text>
        <t xml:space="preserve">Automatically set to €0 when a cost item is entered.</t>
      </text>
    </comment>
    <comment authorId="0" ref="D71">
      <text>
        <t xml:space="preserve">Automatically set to €0 when a cost item is entered.</t>
      </text>
    </comment>
    <comment authorId="0" ref="D38">
      <text>
        <t xml:space="preserve">Automatically set to €0 when a cost item is entered.</t>
      </text>
    </comment>
    <comment authorId="0" ref="D5">
      <text>
        <t xml:space="preserve">Automatically set to €0 when a cost item is entered.</t>
      </text>
    </comment>
    <comment authorId="0" ref="D96">
      <text>
        <t xml:space="preserve">Automatically set to €0 when a cost item is entered.</t>
      </text>
    </comment>
    <comment authorId="0" ref="D63">
      <text>
        <t xml:space="preserve">Automatically set to €0 when a cost item is entered.</t>
      </text>
    </comment>
    <comment authorId="0" ref="D30">
      <text>
        <t xml:space="preserve">Automatically set to €0 when a cost item is entered.</t>
      </text>
    </comment>
    <comment authorId="0" ref="D88">
      <text>
        <t xml:space="preserve">Automatically set to €0 when a cost item is entered.</t>
      </text>
    </comment>
    <comment authorId="0" ref="D55">
      <text>
        <t xml:space="preserve">Automatically set to €0 when a cost item is entered.</t>
      </text>
    </comment>
    <comment authorId="0" ref="D22">
      <text>
        <t xml:space="preserve">Automatically set to €0 when a cost item is entered.</t>
      </text>
    </comment>
    <comment authorId="0" ref="D80">
      <text>
        <t xml:space="preserve">Automatically set to €0 when a cost item is entered.</t>
      </text>
    </comment>
    <comment authorId="0" ref="D47">
      <text>
        <t xml:space="preserve">Automatically set to €0 when a cost item is entered.</t>
      </text>
    </comment>
    <comment authorId="0" ref="D14">
      <text>
        <t xml:space="preserve">Automatically set to €0 when a cost item is entered.</t>
      </text>
    </comment>
    <comment authorId="0" ref="D105">
      <text>
        <t xml:space="preserve">Automatically set to €0 when a cost item is entered.</t>
      </text>
    </comment>
    <comment authorId="0" ref="D72">
      <text>
        <t xml:space="preserve">Automatically set to €0 when a cost item is entered.</t>
      </text>
    </comment>
    <comment authorId="0" ref="D39">
      <text>
        <t xml:space="preserve">Automatically set to €0 when a cost item is entered.</t>
      </text>
    </comment>
    <comment authorId="0" ref="D97">
      <text>
        <t xml:space="preserve">Automatically set to €0 when a cost item is entered.</t>
      </text>
    </comment>
    <comment authorId="0" ref="D64">
      <text>
        <t xml:space="preserve">Automatically set to €0 when a cost item is entered.</t>
      </text>
    </comment>
    <comment authorId="0" ref="D31">
      <text>
        <t xml:space="preserve">Automatically set to €0 when a cost item is entered.</t>
      </text>
    </comment>
    <comment authorId="0" ref="D89">
      <text>
        <t xml:space="preserve">Automatically set to €0 when a cost item is entered.</t>
      </text>
    </comment>
    <comment authorId="0" ref="D56">
      <text>
        <t xml:space="preserve">Automatically set to €0 when a cost item is entered.</t>
      </text>
    </comment>
    <comment authorId="0" ref="D23">
      <text>
        <t xml:space="preserve">Automatically set to €0 when a cost item is entered.</t>
      </text>
    </comment>
    <comment authorId="0" ref="D81">
      <text>
        <t xml:space="preserve">Automatically set to €0 when a cost item is entered.</t>
      </text>
    </comment>
    <comment authorId="0" ref="D48">
      <text>
        <t xml:space="preserve">Automatically set to €0 when a cost item is entered.</t>
      </text>
    </comment>
    <comment authorId="0" ref="D15">
      <text>
        <t xml:space="preserve">Automatically set to €0 when a cost item is entered.</t>
      </text>
    </comment>
    <comment authorId="0" ref="D106">
      <text>
        <t xml:space="preserve">Automatically set to €0 when a cost item is entered.</t>
      </text>
    </comment>
    <comment authorId="0" ref="D73">
      <text>
        <t xml:space="preserve">Automatically set to €0 when a cost item is entered.</t>
      </text>
    </comment>
    <comment authorId="0" ref="D40">
      <text>
        <t xml:space="preserve">Automatically set to €0 when a cost item is entered.</t>
      </text>
    </comment>
    <comment authorId="0" ref="D98">
      <text>
        <t xml:space="preserve">Automatically set to €0 when a cost item is entered.</t>
      </text>
    </comment>
    <comment authorId="0" ref="D65">
      <text>
        <t xml:space="preserve">Automatically set to €0 when a cost item is entered.</t>
      </text>
    </comment>
    <comment authorId="0" ref="D32">
      <text>
        <t xml:space="preserve">Automatically set to €0 when a cost item is entered.</t>
      </text>
    </comment>
    <comment authorId="0" ref="D90">
      <text>
        <t xml:space="preserve">Automatically set to €0 when a cost item is entered.</t>
      </text>
    </comment>
    <comment authorId="0" ref="D57">
      <text>
        <t xml:space="preserve">Automatically set to €0 when a cost item is entered.</t>
      </text>
    </comment>
    <comment authorId="0" ref="D24">
      <text>
        <t xml:space="preserve">Automatically set to €0 when a cost item is entered.</t>
      </text>
    </comment>
    <comment authorId="0" ref="D82">
      <text>
        <t xml:space="preserve">Automatically set to €0 when a cost item is entered.</t>
      </text>
    </comment>
    <comment authorId="0" ref="D49">
      <text>
        <t xml:space="preserve">Automatically set to €0 when a cost item is entered.</t>
      </text>
    </comment>
    <comment authorId="0" ref="D16">
      <text>
        <t xml:space="preserve">Automatically set to €0 when a cost item is entered.</t>
      </text>
    </comment>
    <comment authorId="0" ref="D74">
      <text>
        <t xml:space="preserve">Automatically set to €0 when a cost item is entered.</t>
      </text>
    </comment>
    <comment authorId="0" ref="D41">
      <text>
        <t xml:space="preserve">Automatically set to €0 when a cost item is entered.</t>
      </text>
    </comment>
    <comment authorId="0" ref="D99">
      <text>
        <t xml:space="preserve">Automatically set to €0 when a cost item is entered.</t>
      </text>
    </comment>
    <comment authorId="0" ref="D66">
      <text>
        <t xml:space="preserve">Automatically set to €0 when a cost item is entered.</t>
      </text>
    </comment>
    <comment authorId="0" ref="D33">
      <text>
        <t xml:space="preserve">Automatically set to €0 when a cost item is entered.</t>
      </text>
    </comment>
    <comment authorId="0" ref="D91">
      <text>
        <t xml:space="preserve">Automatically set to €0 when a cost item is entered.</t>
      </text>
    </comment>
    <comment authorId="0" ref="D58">
      <text>
        <t xml:space="preserve">Automatically set to €0 when a cost item is entered.</t>
      </text>
    </comment>
    <comment authorId="0" ref="D25">
      <text>
        <t xml:space="preserve">Automatically set to €0 when a cost item is entered.</t>
      </text>
    </comment>
    <comment authorId="0" ref="D83">
      <text>
        <t xml:space="preserve">Automatically set to €0 when a cost item is entered.</t>
      </text>
    </comment>
    <comment authorId="0" ref="D50">
      <text>
        <t xml:space="preserve">Automatically set to €0 when a cost item is entered.</t>
      </text>
    </comment>
    <comment authorId="0" ref="D17">
      <text>
        <t xml:space="preserve">Automatically set to €0 when a cost item is entered.</t>
      </text>
    </comment>
    <comment authorId="0" ref="D75">
      <text>
        <t xml:space="preserve">Automatically set to €0 when a cost item is entered.</t>
      </text>
    </comment>
    <comment authorId="0" ref="D42">
      <text>
        <t xml:space="preserve">Automatically set to €0 when a cost item is entered.</t>
      </text>
    </comment>
    <comment authorId="0" ref="D9">
      <text>
        <t xml:space="preserve">Automatically set to €0 when a cost item is entered.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Assumption: preliminary budget based on supplier prices already entered in the workbook, including VAT.</t>
      </text>
    </comment>
  </commentList>
</comments>
</file>

<file path=xl/sharedStrings.xml><?xml version="1.0" encoding="utf-8"?>
<sst xmlns="http://schemas.openxmlformats.org/spreadsheetml/2006/main" count="125" uniqueCount="86">
  <si>
    <t>Producer</t>
  </si>
  <si>
    <t>Max Voltage [kV]</t>
  </si>
  <si>
    <t>Max Current [mA]</t>
  </si>
  <si>
    <t>Max Power [W]</t>
  </si>
  <si>
    <t>Spot Size [mm]</t>
  </si>
  <si>
    <t>Anode</t>
  </si>
  <si>
    <t>Price</t>
  </si>
  <si>
    <t>Price+VAT</t>
  </si>
  <si>
    <t>Micro-Xray</t>
  </si>
  <si>
    <t>W</t>
  </si>
  <si>
    <t>Rontgen</t>
  </si>
  <si>
    <t>Cost category</t>
  </si>
  <si>
    <t>Year (1 or 2) ▼</t>
  </si>
  <si>
    <t>Item / description</t>
  </si>
  <si>
    <t>Purpose / related WP</t>
  </si>
  <si>
    <t>Year I (€)</t>
  </si>
  <si>
    <t>Year II (€)</t>
  </si>
  <si>
    <t>Total (€)</t>
  </si>
  <si>
    <t>Cost Element / Activity</t>
  </si>
  <si>
    <t>Quotation</t>
  </si>
  <si>
    <t>Equipment</t>
  </si>
  <si>
    <t>Cost (€)</t>
  </si>
  <si>
    <t>Multichannel CZT detector</t>
  </si>
  <si>
    <t>In-Kind (€)</t>
  </si>
  <si>
    <t>Multichannel fluorescence detection and spectral acquisition – WP2</t>
  </si>
  <si>
    <t>% of Year Cost</t>
  </si>
  <si>
    <t>% of Total Budget</t>
  </si>
  <si>
    <t>Required – detailed quotation attached</t>
  </si>
  <si>
    <t>Digitizer</t>
  </si>
  <si>
    <t>Multichannel signal digitization and synchronized data acquisition – WP2</t>
  </si>
  <si>
    <t>CZT custom multicanale</t>
  </si>
  <si>
    <t>Bent crystal optics</t>
  </si>
  <si>
    <t>Ge/Si bent crystals for selected absorption edges above 20 keV – WP1/WP2</t>
  </si>
  <si>
    <t>Consumables</t>
  </si>
  <si>
    <t>Reference samples and targets</t>
  </si>
  <si>
    <t>Ag, Mo, Rh and Cd standards for calibration and validation – WP3/WP4</t>
  </si>
  <si>
    <t>Supplier estimate</t>
  </si>
  <si>
    <t>Precision slits</t>
  </si>
  <si>
    <t>Beam definition, collimation and background control – WP2/WP3</t>
  </si>
  <si>
    <t>Services</t>
  </si>
  <si>
    <t>Custom sample and CZT supports</t>
  </si>
  <si>
    <t>Custom mechanical holders for sample positioning and detector alignment – WP2</t>
  </si>
  <si>
    <t>Motorized translation stages</t>
  </si>
  <si>
    <t>Automated linear positioning of optics, samples and detector – WP2/WP3</t>
  </si>
  <si>
    <t>WIP</t>
  </si>
  <si>
    <t>Motorized rotation stages</t>
  </si>
  <si>
    <t>Angular alignment of bent crystals and sample geometry – WP2/WP3</t>
  </si>
  <si>
    <t>X-ray tube</t>
  </si>
  <si>
    <t>Laboratory excitation source for fluorescence-XAS measurements – WP2/WP3</t>
  </si>
  <si>
    <t>X-ray tube power supply</t>
  </si>
  <si>
    <t>Dedicated high-voltage/current supply for the X-ray tube – WP2</t>
  </si>
  <si>
    <t>Closed-loop cooling system</t>
  </si>
  <si>
    <t>Thermal stabilization and cooling of the X-ray tube assembly – WP2/WP3</t>
  </si>
  <si>
    <t>Consumables / services</t>
  </si>
  <si>
    <t>Consumables and precision machining</t>
  </si>
  <si>
    <t>Prototyping, cabling, shielding and minor mechanical adaptations – WP2/WP3</t>
  </si>
  <si>
    <t>Travel</t>
  </si>
  <si>
    <t>Experimental activity at collaborating facilities</t>
  </si>
  <si>
    <t>Setup tests and comparative measurements supporting validation – WP3/WP4</t>
  </si>
  <si>
    <t>Internal estimate</t>
  </si>
  <si>
    <t>Project and collaboration meetings</t>
  </si>
  <si>
    <t>Technical coordination and integration meetings – WP1–WP4</t>
  </si>
  <si>
    <t>SI</t>
  </si>
  <si>
    <t>EXRS 2028 conference (oral presentation only)</t>
  </si>
  <si>
    <t>Dissemination of final results, conditional on accepted oral presentation – WP4</t>
  </si>
  <si>
    <t>Total requested</t>
  </si>
  <si>
    <t>Cristalli Ge (880)</t>
  </si>
  <si>
    <t>Target e Campioni</t>
  </si>
  <si>
    <t>NO</t>
  </si>
  <si>
    <t>Slits</t>
  </si>
  <si>
    <t>NR</t>
  </si>
  <si>
    <t>Supporto campione + CZT</t>
  </si>
  <si>
    <t>Assi, motori e movimentazioni</t>
  </si>
  <si>
    <t>Tube power supply</t>
  </si>
  <si>
    <t>Chiller o sistema di raffreddamento</t>
  </si>
  <si>
    <t>Travels</t>
  </si>
  <si>
    <t>Consumabili e lavorazioni</t>
  </si>
  <si>
    <t>Two-Year Budget Summary</t>
  </si>
  <si>
    <t>Period</t>
  </si>
  <si>
    <t>Summary</t>
  </si>
  <si>
    <t>Year 1</t>
  </si>
  <si>
    <t>Total cost</t>
  </si>
  <si>
    <t>Year 2</t>
  </si>
  <si>
    <t>Two Years</t>
  </si>
  <si>
    <t>Total budget</t>
  </si>
  <si>
    <t>Year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</si>
</sst>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General"/>
    <numFmt numFmtId="165" formatCode="€ #,##0;[Red](€ #,##0);€ 0"/>
    <numFmt numFmtId="166" formatCode="0.0%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rgb="FF0070C0"/>
      <name val="Arial"/>
    </font>
    <font>
      <sz val="11.0"/>
      <color rgb="FF222222"/>
      <name val="Arial"/>
    </font>
    <font>
      <b/>
      <sz val="12.0"/>
      <color rgb="FFFFFFFF"/>
      <name val="Arial"/>
    </font>
    <font>
      <b/>
      <sz val="10.0"/>
      <color rgb="FF000000"/>
      <name val="Arial"/>
    </font>
    <font>
      <b/>
      <color rgb="FF000000"/>
      <name val="Arial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7F0E"/>
        <bgColor rgb="FFFF7F0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7">
    <border/>
    <border>
      <bottom style="thin">
        <color rgb="FFD9D9D9"/>
      </bottom>
    </border>
    <border>
      <top style="thin">
        <color rgb="FFA6A6A6"/>
      </top>
      <bottom style="thin">
        <color rgb="FFD9D9D9"/>
      </bottom>
    </border>
    <border>
      <bottom style="thin">
        <color rgb="FF1F77B4"/>
      </bottom>
    </border>
    <border>
      <bottom style="thin">
        <color rgb="FFCC650B"/>
      </bottom>
    </border>
    <border>
      <bottom style="thin">
        <color rgb="FFFF7F0E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2" numFmtId="164" xfId="0" applyFont="1" applyNumberFormat="1"/>
    <xf borderId="0" fillId="0" fontId="1" numFmtId="0" xfId="0" applyFont="1"/>
    <xf borderId="0" fillId="0" fontId="5" numFmtId="0" xfId="0" applyAlignment="1" applyFont="1">
      <alignment horizontal="center"/>
    </xf>
    <xf borderId="0" fillId="2" fontId="7" numFmtId="164" xfId="0" applyAlignment="1" applyFill="1" applyFont="1" applyNumberFormat="1">
      <alignment horizontal="center" readingOrder="0"/>
    </xf>
    <xf borderId="0" fillId="2" fontId="8" numFmtId="1" xfId="0" applyAlignment="1" applyFont="1" applyNumberFormat="1">
      <alignment horizontal="center" readingOrder="0" shrinkToFit="0" vertical="center" wrapText="0"/>
    </xf>
    <xf borderId="0" fillId="2" fontId="8" numFmtId="164" xfId="0" applyAlignment="1" applyFont="1" applyNumberFormat="1">
      <alignment horizontal="center" readingOrder="0" shrinkToFit="0" vertical="center" wrapText="0"/>
    </xf>
    <xf borderId="0" fillId="2" fontId="8" numFmtId="165" xfId="0" applyAlignment="1" applyFont="1" applyNumberFormat="1">
      <alignment horizontal="center" readingOrder="0" shrinkToFit="0" vertical="center" wrapText="0"/>
    </xf>
    <xf borderId="0" fillId="2" fontId="5" numFmtId="164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2" fontId="8" numFmtId="165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1" fillId="2" fontId="8" numFmtId="166" xfId="0" applyAlignment="1" applyBorder="1" applyFont="1" applyNumberFormat="1">
      <alignment horizontal="center" shrinkToFit="0" vertical="center" wrapText="0"/>
    </xf>
    <xf borderId="0" fillId="3" fontId="7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2" fontId="0" numFmtId="164" xfId="0" applyAlignment="1" applyFont="1" applyNumberFormat="1">
      <alignment horizontal="center" readingOrder="0"/>
    </xf>
    <xf borderId="0" fillId="2" fontId="0" numFmtId="0" xfId="0" applyAlignment="1" applyFont="1">
      <alignment horizontal="center" readingOrder="0"/>
    </xf>
    <xf borderId="0" fillId="2" fontId="0" numFmtId="0" xfId="0" applyAlignment="1" applyFont="1">
      <alignment horizontal="center" readingOrder="0"/>
    </xf>
    <xf borderId="0" fillId="2" fontId="8" numFmtId="166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2" fillId="2" fontId="7" numFmtId="164" xfId="0" applyAlignment="1" applyBorder="1" applyFont="1" applyNumberFormat="1">
      <alignment horizontal="center" readingOrder="0"/>
    </xf>
    <xf borderId="3" fillId="2" fontId="7" numFmtId="164" xfId="0" applyAlignment="1" applyBorder="1" applyFont="1" applyNumberFormat="1">
      <alignment horizontal="center" readingOrder="0"/>
    </xf>
    <xf borderId="0" fillId="0" fontId="2" numFmtId="165" xfId="0" applyFont="1" applyNumberFormat="1"/>
    <xf borderId="0" fillId="0" fontId="2" numFmtId="166" xfId="0" applyFont="1" applyNumberFormat="1"/>
    <xf borderId="0" fillId="2" fontId="8" numFmtId="0" xfId="0" applyAlignment="1" applyFont="1">
      <alignment horizontal="center" readingOrder="0" shrinkToFit="0" vertical="center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0" fontId="2" numFmtId="0" xfId="0" applyFont="1"/>
    <xf borderId="2" fillId="2" fontId="8" numFmtId="1" xfId="0" applyAlignment="1" applyBorder="1" applyFont="1" applyNumberFormat="1">
      <alignment horizontal="center" readingOrder="0" shrinkToFit="0" vertical="center" wrapText="0"/>
    </xf>
    <xf borderId="2" fillId="2" fontId="8" numFmtId="164" xfId="0" applyAlignment="1" applyBorder="1" applyFont="1" applyNumberFormat="1">
      <alignment horizontal="center" readingOrder="0" shrinkToFit="0" vertical="center" wrapText="0"/>
    </xf>
    <xf borderId="2" fillId="2" fontId="8" numFmtId="165" xfId="0" applyAlignment="1" applyBorder="1" applyFont="1" applyNumberFormat="1">
      <alignment horizontal="center" readingOrder="0" shrinkToFit="0" vertical="center" wrapText="0"/>
    </xf>
    <xf borderId="3" fillId="2" fontId="8" numFmtId="1" xfId="0" applyAlignment="1" applyBorder="1" applyFont="1" applyNumberFormat="1">
      <alignment horizontal="center" readingOrder="0" shrinkToFit="0" vertical="center" wrapText="0"/>
    </xf>
    <xf borderId="3" fillId="2" fontId="8" numFmtId="164" xfId="0" applyAlignment="1" applyBorder="1" applyFont="1" applyNumberFormat="1">
      <alignment horizontal="center" readingOrder="0" shrinkToFit="0" vertical="center" wrapText="0"/>
    </xf>
    <xf borderId="3" fillId="2" fontId="8" numFmtId="165" xfId="0" applyAlignment="1" applyBorder="1" applyFont="1" applyNumberFormat="1">
      <alignment horizontal="center" readingOrder="0" shrinkToFit="0" vertical="center" wrapText="0"/>
    </xf>
    <xf borderId="3" fillId="2" fontId="8" numFmtId="165" xfId="0" applyAlignment="1" applyBorder="1" applyFont="1" applyNumberFormat="1">
      <alignment horizontal="center" shrinkToFit="0" vertical="center" wrapText="0"/>
    </xf>
    <xf borderId="3" fillId="2" fontId="8" numFmtId="166" xfId="0" applyAlignment="1" applyBorder="1" applyFont="1" applyNumberFormat="1">
      <alignment horizontal="center" shrinkToFit="0" vertical="center" wrapText="0"/>
    </xf>
    <xf borderId="3" fillId="2" fontId="8" numFmtId="166" xfId="0" applyAlignment="1" applyBorder="1" applyFont="1" applyNumberFormat="1">
      <alignment horizontal="center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2" fontId="8" numFmtId="166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0" fillId="0" fontId="11" numFmtId="165" xfId="0" applyAlignment="1" applyFont="1" applyNumberFormat="1">
      <alignment horizontal="center" readingOrder="0" shrinkToFit="0" vertical="center" wrapText="0"/>
    </xf>
    <xf borderId="0" fillId="2" fontId="12" numFmtId="165" xfId="0" applyAlignment="1" applyFont="1" applyNumberFormat="1">
      <alignment horizontal="center" shrinkToFit="0" vertical="center" wrapText="0"/>
    </xf>
    <xf borderId="1" fillId="2" fontId="12" numFmtId="166" xfId="0" applyAlignment="1" applyBorder="1" applyFont="1" applyNumberFormat="1">
      <alignment horizontal="center" shrinkToFit="0" vertical="center" wrapText="0"/>
    </xf>
    <xf borderId="0" fillId="2" fontId="12" numFmtId="166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0" fillId="0" fontId="11" numFmtId="165" xfId="0" applyAlignment="1" applyFont="1" applyNumberFormat="1">
      <alignment horizontal="center" shrinkToFit="0" vertical="center" wrapText="0"/>
    </xf>
    <xf borderId="4" fillId="4" fontId="13" numFmtId="0" xfId="0" applyAlignment="1" applyBorder="1" applyFill="1" applyFont="1">
      <alignment readingOrder="0" shrinkToFit="0" vertical="center" wrapText="0"/>
    </xf>
    <xf borderId="4" fillId="4" fontId="13" numFmtId="164" xfId="0" applyAlignment="1" applyBorder="1" applyFont="1" applyNumberFormat="1">
      <alignment horizontal="center" readingOrder="0" shrinkToFit="0" vertical="center" wrapText="0"/>
    </xf>
    <xf borderId="4" fillId="4" fontId="13" numFmtId="165" xfId="0" applyAlignment="1" applyBorder="1" applyFont="1" applyNumberFormat="1">
      <alignment horizontal="center" shrinkToFit="0" vertical="center" wrapText="0"/>
    </xf>
    <xf borderId="4" fillId="4" fontId="13" numFmtId="166" xfId="0" applyAlignment="1" applyBorder="1" applyFont="1" applyNumberFormat="1">
      <alignment horizontal="center" shrinkToFit="0" vertical="center" wrapText="0"/>
    </xf>
    <xf borderId="4" fillId="4" fontId="13" numFmtId="166" xfId="0" applyAlignment="1" applyBorder="1" applyFont="1" applyNumberFormat="1">
      <alignment horizontal="center" shrinkToFit="0" vertical="center" wrapText="0"/>
    </xf>
    <xf borderId="5" fillId="5" fontId="14" numFmtId="1" xfId="0" applyAlignment="1" applyBorder="1" applyFill="1" applyFont="1" applyNumberFormat="1">
      <alignment readingOrder="0" shrinkToFit="0" vertical="center" wrapText="0"/>
    </xf>
    <xf borderId="5" fillId="5" fontId="14" numFmtId="164" xfId="0" applyAlignment="1" applyBorder="1" applyFont="1" applyNumberFormat="1">
      <alignment horizontal="center" readingOrder="0" shrinkToFit="0" vertical="center" wrapText="0"/>
    </xf>
    <xf borderId="5" fillId="5" fontId="14" numFmtId="165" xfId="0" applyAlignment="1" applyBorder="1" applyFont="1" applyNumberFormat="1">
      <alignment horizontal="center" readingOrder="0" shrinkToFit="0" vertical="center" wrapText="0"/>
    </xf>
    <xf borderId="5" fillId="5" fontId="14" numFmtId="0" xfId="0" applyAlignment="1" applyBorder="1" applyFont="1">
      <alignment horizontal="center" readingOrder="0" shrinkToFit="0" vertical="center" wrapText="0"/>
    </xf>
    <xf borderId="1" fillId="2" fontId="12" numFmtId="1" xfId="0" applyAlignment="1" applyBorder="1" applyFont="1" applyNumberFormat="1">
      <alignment readingOrder="0" shrinkToFit="0" vertical="center" wrapText="0"/>
    </xf>
    <xf borderId="1" fillId="2" fontId="12" numFmtId="164" xfId="0" applyAlignment="1" applyBorder="1" applyFont="1" applyNumberFormat="1">
      <alignment horizontal="center" readingOrder="0" shrinkToFit="0" vertical="center" wrapText="0"/>
    </xf>
    <xf borderId="1" fillId="2" fontId="12" numFmtId="165" xfId="0" applyAlignment="1" applyBorder="1" applyFont="1" applyNumberFormat="1">
      <alignment horizontal="center" shrinkToFit="0" vertical="center" wrapText="0"/>
    </xf>
    <xf borderId="1" fillId="2" fontId="12" numFmtId="166" xfId="0" applyAlignment="1" applyBorder="1" applyFont="1" applyNumberFormat="1">
      <alignment horizontal="center" shrinkToFit="0" vertical="center" wrapText="0"/>
    </xf>
    <xf borderId="6" fillId="0" fontId="15" numFmtId="1" xfId="0" applyAlignment="1" applyBorder="1" applyFont="1" applyNumberFormat="1">
      <alignment readingOrder="0" shrinkToFit="0" vertical="center" wrapText="0"/>
    </xf>
    <xf borderId="6" fillId="0" fontId="15" numFmtId="164" xfId="0" applyAlignment="1" applyBorder="1" applyFont="1" applyNumberFormat="1">
      <alignment horizontal="center" readingOrder="0" shrinkToFit="0" vertical="center" wrapText="0"/>
    </xf>
    <xf borderId="6" fillId="0" fontId="15" numFmtId="165" xfId="0" applyAlignment="1" applyBorder="1" applyFont="1" applyNumberFormat="1">
      <alignment horizontal="center" shrinkToFit="0" vertical="center" wrapText="0"/>
    </xf>
    <xf borderId="6" fillId="0" fontId="15" numFmtId="166" xfId="0" applyAlignment="1" applyBorder="1" applyFont="1" applyNumberFormat="1">
      <alignment horizontal="center" shrinkToFit="0" vertical="center" wrapText="0"/>
    </xf>
    <xf borderId="6" fillId="0" fontId="15" numFmtId="166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6" fontId="15" numFmtId="1" xfId="0" applyAlignment="1" applyFill="1" applyFont="1" applyNumberFormat="1">
      <alignment readingOrder="0" shrinkToFit="0" vertical="center" wrapText="0"/>
    </xf>
    <xf borderId="0" fillId="6" fontId="16" numFmtId="16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6" displayName="Tabella_1" name="Tabella_1" id="1">
  <tableColumns count="7">
    <tableColumn name="Year (1 or 2) ▼" id="1"/>
    <tableColumn name="Cost Element / Activity" id="2"/>
    <tableColumn name="Cost (€)" id="3"/>
    <tableColumn name="In-Kind (€)" id="4"/>
    <tableColumn name="% of Year Cost" id="5"/>
    <tableColumn name="% of Total Budget" id="6"/>
    <tableColumn name="Quotation" id="7"/>
  </tableColumns>
  <tableStyleInfo name="Co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30.63"/>
    <col customWidth="1" min="3" max="3" width="12.38"/>
    <col customWidth="1" min="4" max="4" width="14.5"/>
    <col customWidth="1" min="5" max="5" width="21.63"/>
    <col customWidth="1" min="6" max="6" width="20.88"/>
    <col customWidth="1" min="7" max="7" width="16.88"/>
    <col customWidth="1" min="8" max="26" width="12.63"/>
  </cols>
  <sheetData>
    <row r="1" ht="22.5" customHeight="1">
      <c r="A1" s="7" t="s">
        <v>12</v>
      </c>
      <c r="B1" s="7" t="s">
        <v>18</v>
      </c>
      <c r="C1" s="7" t="s">
        <v>21</v>
      </c>
      <c r="D1" s="7" t="s">
        <v>23</v>
      </c>
      <c r="E1" s="7" t="s">
        <v>25</v>
      </c>
      <c r="F1" s="7" t="s">
        <v>26</v>
      </c>
      <c r="G1" s="9" t="s">
        <v>19</v>
      </c>
      <c r="H1" s="10"/>
      <c r="I1" s="10"/>
      <c r="J1" s="10"/>
      <c r="K1" s="10"/>
      <c r="L1" s="10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s="14">
        <v>1.0</v>
      </c>
      <c r="B2" s="15" t="s">
        <v>30</v>
      </c>
      <c r="C2" s="16">
        <v>30000.0</v>
      </c>
      <c r="D2" s="21">
        <f t="shared" ref="D2:D5" si="1">IF(COUNTA(A2:C2)=0,"",0)</f>
        <v>0</v>
      </c>
      <c r="E2" s="27">
        <f t="shared" ref="E2:E15" si="2">IF(OR(A2="",C2=""),"",IF(OR(A2=1,A2=2),IF(SUMIF($A$2:$A$15,A2,$C$2:$C$15)=0,"",C2/SUMIF($A$2:$A$15,A2,$C$2:$C$15)),""))</f>
        <v>0.3529411765</v>
      </c>
      <c r="F2" s="33">
        <f t="shared" ref="F2:F15" si="3">IF(OR(A2="",C2=""),"",IF(OR(A2=1,A2=2),IF(SUM($C$2:$C$15)=0,"",C2/SUM($C$2:$C$15)),""))</f>
        <v>0.2040816327</v>
      </c>
      <c r="G2" s="34" t="s">
        <v>44</v>
      </c>
      <c r="H2" s="10"/>
      <c r="I2" s="10"/>
      <c r="J2" s="10"/>
      <c r="K2" s="10"/>
      <c r="L2" s="10"/>
      <c r="M2" s="10"/>
    </row>
    <row r="3" ht="22.5" customHeight="1">
      <c r="A3" s="14">
        <v>1.0</v>
      </c>
      <c r="B3" s="15" t="s">
        <v>28</v>
      </c>
      <c r="C3" s="16">
        <v>22000.0</v>
      </c>
      <c r="D3" s="21">
        <f t="shared" si="1"/>
        <v>0</v>
      </c>
      <c r="E3" s="27">
        <f t="shared" si="2"/>
        <v>0.2588235294</v>
      </c>
      <c r="F3" s="33">
        <f t="shared" si="3"/>
        <v>0.1496598639</v>
      </c>
      <c r="G3" s="34" t="s">
        <v>62</v>
      </c>
      <c r="H3" s="10"/>
      <c r="I3" s="10"/>
      <c r="J3" s="37"/>
      <c r="K3" s="37"/>
      <c r="L3" s="38"/>
      <c r="M3" s="38"/>
    </row>
    <row r="4" ht="22.5" customHeight="1">
      <c r="A4" s="14">
        <v>1.0</v>
      </c>
      <c r="B4" s="15" t="s">
        <v>66</v>
      </c>
      <c r="C4" s="16">
        <v>20000.0</v>
      </c>
      <c r="D4" s="21">
        <f t="shared" si="1"/>
        <v>0</v>
      </c>
      <c r="E4" s="27">
        <f t="shared" si="2"/>
        <v>0.2352941176</v>
      </c>
      <c r="F4" s="33">
        <f t="shared" si="3"/>
        <v>0.1360544218</v>
      </c>
      <c r="G4" s="34" t="s">
        <v>44</v>
      </c>
      <c r="H4" s="10"/>
      <c r="I4" s="10"/>
      <c r="J4" s="37"/>
      <c r="K4" s="37"/>
      <c r="L4" s="38"/>
      <c r="M4" s="38"/>
    </row>
    <row r="5" ht="22.5" customHeight="1">
      <c r="A5" s="14">
        <v>1.0</v>
      </c>
      <c r="B5" s="15" t="s">
        <v>67</v>
      </c>
      <c r="C5" s="16">
        <v>2000.0</v>
      </c>
      <c r="D5" s="21">
        <f t="shared" si="1"/>
        <v>0</v>
      </c>
      <c r="E5" s="27">
        <f t="shared" si="2"/>
        <v>0.02352941176</v>
      </c>
      <c r="F5" s="33">
        <f t="shared" si="3"/>
        <v>0.01360544218</v>
      </c>
      <c r="G5" s="34" t="s">
        <v>68</v>
      </c>
      <c r="H5" s="10"/>
      <c r="I5" s="10"/>
      <c r="J5" s="37"/>
      <c r="K5" s="37"/>
      <c r="L5" s="38"/>
      <c r="M5" s="38"/>
    </row>
    <row r="6" ht="22.5" customHeight="1">
      <c r="A6" s="39">
        <v>1.0</v>
      </c>
      <c r="B6" s="15" t="s">
        <v>69</v>
      </c>
      <c r="C6" s="16">
        <v>0.0</v>
      </c>
      <c r="D6" s="16">
        <v>2000.0</v>
      </c>
      <c r="E6" s="27">
        <f t="shared" si="2"/>
        <v>0</v>
      </c>
      <c r="F6" s="33">
        <f t="shared" si="3"/>
        <v>0</v>
      </c>
      <c r="G6" s="34" t="s">
        <v>70</v>
      </c>
    </row>
    <row r="7" ht="22.5" customHeight="1">
      <c r="A7" s="39">
        <v>1.0</v>
      </c>
      <c r="B7" s="15" t="s">
        <v>71</v>
      </c>
      <c r="C7" s="16">
        <v>3000.0</v>
      </c>
      <c r="D7" s="16">
        <v>0.0</v>
      </c>
      <c r="E7" s="27">
        <f t="shared" si="2"/>
        <v>0.03529411765</v>
      </c>
      <c r="F7" s="33">
        <f t="shared" si="3"/>
        <v>0.02040816327</v>
      </c>
      <c r="G7" s="34" t="s">
        <v>70</v>
      </c>
      <c r="H7" s="10"/>
      <c r="I7" s="10"/>
      <c r="J7" s="10"/>
      <c r="K7" s="10"/>
      <c r="L7" s="10"/>
      <c r="M7" s="10"/>
    </row>
    <row r="8" ht="22.5" customHeight="1">
      <c r="A8" s="39">
        <v>1.0</v>
      </c>
      <c r="B8" s="40" t="s">
        <v>72</v>
      </c>
      <c r="C8" s="16">
        <v>8000.0</v>
      </c>
      <c r="D8" s="16">
        <v>3000.0</v>
      </c>
      <c r="E8" s="27">
        <f t="shared" si="2"/>
        <v>0.09411764706</v>
      </c>
      <c r="F8" s="33">
        <f t="shared" si="3"/>
        <v>0.05442176871</v>
      </c>
      <c r="G8" s="34" t="s">
        <v>44</v>
      </c>
      <c r="H8" s="41"/>
    </row>
    <row r="9" ht="22.5" customHeight="1">
      <c r="A9" s="42">
        <v>2.0</v>
      </c>
      <c r="B9" s="43" t="s">
        <v>47</v>
      </c>
      <c r="C9" s="44">
        <v>40000.0</v>
      </c>
      <c r="D9" s="21">
        <f t="shared" ref="D9:D15" si="4">IF(COUNTA(A9:C9)=0,"",0)</f>
        <v>0</v>
      </c>
      <c r="E9" s="27">
        <f t="shared" si="2"/>
        <v>0.6451612903</v>
      </c>
      <c r="F9" s="33">
        <f t="shared" si="3"/>
        <v>0.2721088435</v>
      </c>
      <c r="G9" s="34" t="s">
        <v>62</v>
      </c>
    </row>
    <row r="10" ht="22.5" customHeight="1">
      <c r="A10" s="45">
        <v>2.0</v>
      </c>
      <c r="B10" s="46" t="s">
        <v>73</v>
      </c>
      <c r="C10" s="47">
        <v>10000.0</v>
      </c>
      <c r="D10" s="48">
        <f t="shared" si="4"/>
        <v>0</v>
      </c>
      <c r="E10" s="49">
        <f t="shared" si="2"/>
        <v>0.1612903226</v>
      </c>
      <c r="F10" s="50">
        <f t="shared" si="3"/>
        <v>0.06802721088</v>
      </c>
      <c r="G10" s="34" t="s">
        <v>68</v>
      </c>
    </row>
    <row r="11" ht="22.5" customHeight="1">
      <c r="A11" s="39">
        <v>2.0</v>
      </c>
      <c r="B11" s="51" t="s">
        <v>74</v>
      </c>
      <c r="C11" s="16">
        <v>5000.0</v>
      </c>
      <c r="D11" s="21">
        <f t="shared" si="4"/>
        <v>0</v>
      </c>
      <c r="E11" s="52">
        <f t="shared" si="2"/>
        <v>0.08064516129</v>
      </c>
      <c r="F11" s="33">
        <f t="shared" si="3"/>
        <v>0.03401360544</v>
      </c>
      <c r="G11" s="34" t="s">
        <v>68</v>
      </c>
    </row>
    <row r="12" ht="22.5" customHeight="1">
      <c r="A12" s="14">
        <v>2.0</v>
      </c>
      <c r="B12" s="15" t="s">
        <v>75</v>
      </c>
      <c r="C12" s="16">
        <v>3000.0</v>
      </c>
      <c r="D12" s="21">
        <f t="shared" si="4"/>
        <v>0</v>
      </c>
      <c r="E12" s="52">
        <f t="shared" si="2"/>
        <v>0.04838709677</v>
      </c>
      <c r="F12" s="33">
        <f t="shared" si="3"/>
        <v>0.02040816327</v>
      </c>
      <c r="G12" s="34" t="s">
        <v>70</v>
      </c>
    </row>
    <row r="13" ht="22.5" customHeight="1">
      <c r="A13" s="39">
        <v>2.0</v>
      </c>
      <c r="B13" s="51" t="s">
        <v>76</v>
      </c>
      <c r="C13" s="16">
        <v>4000.0</v>
      </c>
      <c r="D13" s="21">
        <f t="shared" si="4"/>
        <v>0</v>
      </c>
      <c r="E13" s="52">
        <f t="shared" si="2"/>
        <v>0.06451612903</v>
      </c>
      <c r="F13" s="33">
        <f t="shared" si="3"/>
        <v>0.02721088435</v>
      </c>
      <c r="G13" s="34" t="s">
        <v>70</v>
      </c>
    </row>
    <row r="14" ht="22.5" customHeight="1">
      <c r="A14" s="53"/>
      <c r="B14" s="54"/>
      <c r="C14" s="55"/>
      <c r="D14" s="56" t="str">
        <f t="shared" si="4"/>
        <v/>
      </c>
      <c r="E14" s="57" t="str">
        <f t="shared" si="2"/>
        <v/>
      </c>
      <c r="F14" s="58" t="str">
        <f t="shared" si="3"/>
        <v/>
      </c>
      <c r="G14" s="59"/>
    </row>
    <row r="15" ht="22.5" customHeight="1">
      <c r="A15" s="60"/>
      <c r="B15" s="61"/>
      <c r="C15" s="62"/>
      <c r="D15" s="56" t="str">
        <f t="shared" si="4"/>
        <v/>
      </c>
      <c r="E15" s="57" t="str">
        <f t="shared" si="2"/>
        <v/>
      </c>
      <c r="F15" s="58" t="str">
        <f t="shared" si="3"/>
        <v/>
      </c>
      <c r="G15" s="59"/>
    </row>
    <row r="16" ht="22.5" customHeight="1">
      <c r="A16" s="63"/>
      <c r="B16" s="64" t="s">
        <v>77</v>
      </c>
      <c r="C16" s="65"/>
      <c r="D16" s="65"/>
      <c r="E16" s="66"/>
      <c r="F16" s="67"/>
      <c r="G16" s="59"/>
    </row>
    <row r="17" ht="22.5" customHeight="1">
      <c r="A17" s="68" t="s">
        <v>78</v>
      </c>
      <c r="B17" s="69" t="s">
        <v>79</v>
      </c>
      <c r="C17" s="70" t="s">
        <v>21</v>
      </c>
      <c r="D17" s="70" t="s">
        <v>23</v>
      </c>
      <c r="E17" s="71" t="s">
        <v>25</v>
      </c>
      <c r="F17" s="71" t="s">
        <v>26</v>
      </c>
      <c r="G17" s="59"/>
    </row>
    <row r="18" ht="22.5" customHeight="1">
      <c r="A18" s="72" t="s">
        <v>80</v>
      </c>
      <c r="B18" s="73" t="s">
        <v>81</v>
      </c>
      <c r="C18" s="74">
        <f>SUMIF($A$2:$A$15,1,$C$2:$C$15)</f>
        <v>85000</v>
      </c>
      <c r="D18" s="74">
        <f>SUMIF($A$2:$A$15,1,$D$2:$D$15)</f>
        <v>5000</v>
      </c>
      <c r="E18" s="57">
        <f t="shared" ref="E18:E19" si="5">IF(C18=0,"",1)</f>
        <v>1</v>
      </c>
      <c r="F18" s="75">
        <f t="shared" ref="F18:F19" si="6">IF($C$20=0,"",C18/$C$20)</f>
        <v>0.5782312925</v>
      </c>
      <c r="G18" s="59"/>
    </row>
    <row r="19" ht="22.5" customHeight="1">
      <c r="A19" s="72" t="s">
        <v>82</v>
      </c>
      <c r="B19" s="73" t="s">
        <v>81</v>
      </c>
      <c r="C19" s="74">
        <f>SUMIF($A$2:$A$15,2,$C$2:$C$15)</f>
        <v>62000</v>
      </c>
      <c r="D19" s="74">
        <f>SUMIF($A$2:$A$15,2,$D$2:$D$15)</f>
        <v>0</v>
      </c>
      <c r="E19" s="57">
        <f t="shared" si="5"/>
        <v>1</v>
      </c>
      <c r="F19" s="75">
        <f t="shared" si="6"/>
        <v>0.4217687075</v>
      </c>
      <c r="G19" s="59"/>
    </row>
    <row r="20" ht="22.5" customHeight="1">
      <c r="A20" s="76" t="s">
        <v>83</v>
      </c>
      <c r="B20" s="77" t="s">
        <v>84</v>
      </c>
      <c r="C20" s="78">
        <f t="shared" ref="C20:D20" si="7">SUM(C18:C19)</f>
        <v>147000</v>
      </c>
      <c r="D20" s="78">
        <f t="shared" si="7"/>
        <v>5000</v>
      </c>
      <c r="E20" s="79"/>
      <c r="F20" s="80">
        <f>IF(C20=0,"",1)</f>
        <v>1</v>
      </c>
      <c r="G20" s="59"/>
    </row>
    <row r="21" ht="22.5" customHeight="1">
      <c r="A21" s="81"/>
      <c r="B21" s="82"/>
      <c r="C21" s="83"/>
      <c r="D21" s="83"/>
      <c r="E21" s="84"/>
      <c r="F21" s="85"/>
      <c r="G21" s="59"/>
    </row>
    <row r="22" ht="22.5" customHeight="1">
      <c r="A22" s="86" t="s">
        <v>85</v>
      </c>
      <c r="B22" s="87" t="str">
        <f>IF(SUMPRODUCT(--($B$2:$B$15&lt;&gt;""),--($A$2:$A$15&lt;&gt;1),--($A$2:$A$15&lt;&gt;2))&gt;0,"ERROR: choose Year 1 or 2","OK: Year is 1 or 2")</f>
        <v>OK: Year is 1 or 2</v>
      </c>
      <c r="C22" s="83"/>
      <c r="D22" s="83"/>
      <c r="E22" s="84"/>
      <c r="F22" s="85"/>
      <c r="G22" s="59"/>
    </row>
    <row r="23" ht="22.5" customHeight="1">
      <c r="A23" s="81"/>
      <c r="B23" s="82"/>
      <c r="C23" s="83"/>
      <c r="D23" s="83"/>
      <c r="E23" s="84"/>
      <c r="F23" s="85"/>
      <c r="G23" s="59"/>
    </row>
    <row r="24" ht="22.5" customHeight="1">
      <c r="A24" s="81"/>
      <c r="B24" s="82"/>
      <c r="C24" s="83"/>
      <c r="D24" s="83"/>
      <c r="E24" s="84"/>
      <c r="F24" s="85"/>
      <c r="G24" s="59"/>
    </row>
    <row r="25" ht="22.5" customHeight="1">
      <c r="A25" s="81"/>
      <c r="B25" s="82"/>
      <c r="C25" s="83"/>
      <c r="D25" s="83"/>
      <c r="E25" s="84"/>
      <c r="F25" s="85"/>
      <c r="G25" s="59"/>
    </row>
    <row r="26" ht="22.5" customHeight="1">
      <c r="A26" s="81"/>
      <c r="B26" s="82"/>
      <c r="C26" s="83"/>
      <c r="D26" s="83"/>
      <c r="E26" s="84"/>
      <c r="F26" s="85"/>
      <c r="G26" s="59"/>
    </row>
    <row r="27" ht="22.5" customHeight="1">
      <c r="A27" s="81"/>
      <c r="B27" s="82"/>
      <c r="C27" s="83"/>
      <c r="D27" s="83"/>
      <c r="E27" s="84"/>
      <c r="F27" s="85"/>
      <c r="G27" s="59"/>
    </row>
    <row r="28" ht="22.5" customHeight="1">
      <c r="A28" s="81"/>
      <c r="B28" s="82"/>
      <c r="C28" s="83"/>
      <c r="D28" s="83"/>
      <c r="E28" s="84"/>
      <c r="F28" s="85"/>
      <c r="G28" s="59"/>
    </row>
    <row r="29" ht="22.5" customHeight="1">
      <c r="A29" s="81"/>
      <c r="B29" s="82"/>
      <c r="C29" s="83"/>
      <c r="D29" s="83"/>
      <c r="E29" s="84"/>
      <c r="F29" s="85"/>
      <c r="G29" s="59"/>
    </row>
    <row r="30" ht="22.5" customHeight="1">
      <c r="A30" s="81"/>
      <c r="B30" s="82"/>
      <c r="C30" s="83"/>
      <c r="D30" s="83"/>
      <c r="E30" s="84"/>
      <c r="F30" s="85"/>
      <c r="G30" s="59"/>
    </row>
    <row r="31" ht="22.5" customHeight="1">
      <c r="A31" s="81"/>
      <c r="B31" s="82"/>
      <c r="C31" s="83"/>
      <c r="D31" s="83"/>
      <c r="E31" s="84"/>
      <c r="F31" s="85"/>
      <c r="G31" s="59"/>
    </row>
    <row r="32" ht="22.5" customHeight="1">
      <c r="A32" s="81"/>
      <c r="B32" s="82"/>
      <c r="C32" s="83"/>
      <c r="D32" s="83"/>
      <c r="E32" s="84"/>
      <c r="F32" s="85"/>
      <c r="G32" s="59"/>
    </row>
    <row r="33" ht="22.5" customHeight="1">
      <c r="A33" s="81"/>
      <c r="B33" s="82"/>
      <c r="C33" s="83"/>
      <c r="D33" s="83"/>
      <c r="E33" s="84"/>
      <c r="F33" s="85"/>
      <c r="G33" s="59"/>
    </row>
    <row r="34" ht="22.5" customHeight="1">
      <c r="A34" s="81"/>
      <c r="B34" s="82"/>
      <c r="C34" s="83"/>
      <c r="D34" s="83"/>
      <c r="E34" s="84"/>
      <c r="F34" s="85"/>
      <c r="G34" s="59"/>
    </row>
    <row r="35" ht="22.5" customHeight="1">
      <c r="A35" s="81"/>
      <c r="B35" s="82"/>
      <c r="C35" s="83"/>
      <c r="D35" s="83"/>
      <c r="E35" s="84"/>
      <c r="F35" s="85"/>
      <c r="G35" s="59"/>
    </row>
    <row r="36" ht="22.5" customHeight="1">
      <c r="A36" s="81"/>
      <c r="B36" s="82"/>
      <c r="C36" s="83"/>
      <c r="D36" s="83"/>
      <c r="E36" s="84"/>
      <c r="F36" s="85"/>
      <c r="G36" s="59"/>
    </row>
    <row r="37" ht="22.5" customHeight="1">
      <c r="A37" s="81"/>
      <c r="B37" s="82"/>
      <c r="C37" s="83"/>
      <c r="D37" s="83"/>
      <c r="E37" s="84"/>
      <c r="F37" s="85"/>
      <c r="G37" s="59"/>
    </row>
    <row r="38" ht="22.5" customHeight="1">
      <c r="A38" s="81"/>
      <c r="B38" s="82"/>
      <c r="C38" s="83"/>
      <c r="D38" s="83"/>
      <c r="E38" s="84"/>
      <c r="F38" s="85"/>
      <c r="G38" s="59"/>
    </row>
    <row r="39" ht="22.5" customHeight="1">
      <c r="A39" s="81"/>
      <c r="B39" s="82"/>
      <c r="C39" s="83"/>
      <c r="D39" s="83"/>
      <c r="E39" s="84"/>
      <c r="F39" s="85"/>
      <c r="G39" s="59"/>
    </row>
    <row r="40" ht="22.5" customHeight="1">
      <c r="A40" s="81"/>
      <c r="B40" s="82"/>
      <c r="C40" s="83"/>
      <c r="D40" s="83"/>
      <c r="E40" s="84"/>
      <c r="F40" s="85"/>
      <c r="G40" s="59"/>
    </row>
    <row r="41" ht="22.5" customHeight="1">
      <c r="A41" s="81"/>
      <c r="B41" s="82"/>
      <c r="C41" s="83"/>
      <c r="D41" s="83"/>
      <c r="E41" s="84"/>
      <c r="F41" s="85"/>
      <c r="G41" s="59"/>
    </row>
    <row r="42" ht="22.5" customHeight="1">
      <c r="A42" s="81"/>
      <c r="B42" s="82"/>
      <c r="C42" s="83"/>
      <c r="D42" s="83"/>
      <c r="E42" s="84"/>
      <c r="F42" s="85"/>
      <c r="G42" s="59"/>
    </row>
    <row r="43" ht="22.5" customHeight="1">
      <c r="A43" s="81"/>
      <c r="B43" s="82"/>
      <c r="C43" s="83"/>
      <c r="D43" s="83"/>
      <c r="E43" s="84"/>
      <c r="F43" s="85"/>
      <c r="G43" s="59"/>
    </row>
    <row r="44" ht="22.5" customHeight="1">
      <c r="A44" s="81"/>
      <c r="B44" s="82"/>
      <c r="C44" s="83"/>
      <c r="D44" s="83"/>
      <c r="E44" s="84"/>
      <c r="F44" s="85"/>
      <c r="G44" s="59"/>
    </row>
    <row r="45" ht="22.5" customHeight="1">
      <c r="A45" s="81"/>
      <c r="B45" s="82"/>
      <c r="C45" s="83"/>
      <c r="D45" s="83"/>
      <c r="E45" s="84"/>
      <c r="F45" s="85"/>
      <c r="G45" s="59"/>
    </row>
    <row r="46" ht="22.5" customHeight="1">
      <c r="A46" s="81"/>
      <c r="B46" s="82"/>
      <c r="C46" s="83"/>
      <c r="D46" s="83"/>
      <c r="E46" s="84"/>
      <c r="F46" s="85"/>
      <c r="G46" s="59"/>
    </row>
    <row r="47" ht="22.5" customHeight="1">
      <c r="A47" s="81"/>
      <c r="B47" s="82"/>
      <c r="C47" s="83"/>
      <c r="D47" s="83"/>
      <c r="E47" s="84"/>
      <c r="F47" s="85"/>
      <c r="G47" s="59"/>
    </row>
    <row r="48" ht="22.5" customHeight="1">
      <c r="A48" s="81"/>
      <c r="B48" s="82"/>
      <c r="C48" s="83"/>
      <c r="D48" s="83"/>
      <c r="E48" s="84"/>
      <c r="F48" s="85"/>
      <c r="G48" s="59"/>
    </row>
    <row r="49" ht="22.5" customHeight="1">
      <c r="A49" s="81"/>
      <c r="B49" s="82"/>
      <c r="C49" s="83"/>
      <c r="D49" s="83"/>
      <c r="E49" s="84"/>
      <c r="F49" s="85"/>
      <c r="G49" s="59"/>
    </row>
    <row r="50" ht="22.5" customHeight="1">
      <c r="A50" s="81"/>
      <c r="B50" s="82"/>
      <c r="C50" s="83"/>
      <c r="D50" s="83"/>
      <c r="E50" s="84"/>
      <c r="F50" s="85"/>
      <c r="G50" s="59"/>
    </row>
    <row r="51" ht="22.5" customHeight="1">
      <c r="A51" s="81"/>
      <c r="B51" s="82"/>
      <c r="C51" s="83"/>
      <c r="D51" s="83"/>
      <c r="E51" s="84"/>
      <c r="F51" s="85"/>
      <c r="G51" s="59"/>
    </row>
    <row r="52" ht="22.5" customHeight="1">
      <c r="A52" s="81"/>
      <c r="B52" s="82"/>
      <c r="C52" s="83"/>
      <c r="D52" s="83"/>
      <c r="E52" s="84"/>
      <c r="F52" s="85"/>
      <c r="G52" s="59"/>
    </row>
    <row r="53" ht="22.5" customHeight="1">
      <c r="A53" s="81"/>
      <c r="B53" s="82"/>
      <c r="C53" s="83"/>
      <c r="D53" s="83"/>
      <c r="E53" s="84"/>
      <c r="F53" s="85"/>
      <c r="G53" s="59"/>
    </row>
    <row r="54" ht="22.5" customHeight="1">
      <c r="A54" s="81"/>
      <c r="B54" s="82"/>
      <c r="C54" s="83"/>
      <c r="D54" s="83"/>
      <c r="E54" s="84"/>
      <c r="F54" s="85"/>
      <c r="G54" s="59"/>
    </row>
    <row r="55" ht="22.5" customHeight="1">
      <c r="A55" s="81"/>
      <c r="B55" s="82"/>
      <c r="C55" s="83"/>
      <c r="D55" s="83"/>
      <c r="E55" s="84"/>
      <c r="F55" s="85"/>
      <c r="G55" s="59"/>
    </row>
    <row r="56" ht="22.5" customHeight="1">
      <c r="A56" s="81"/>
      <c r="B56" s="82"/>
      <c r="C56" s="83"/>
      <c r="D56" s="83"/>
      <c r="E56" s="84"/>
      <c r="F56" s="85"/>
      <c r="G56" s="59"/>
    </row>
    <row r="57" ht="22.5" customHeight="1">
      <c r="A57" s="81"/>
      <c r="B57" s="82"/>
      <c r="C57" s="83"/>
      <c r="D57" s="83"/>
      <c r="E57" s="84"/>
      <c r="F57" s="85"/>
      <c r="G57" s="59"/>
    </row>
    <row r="58" ht="22.5" customHeight="1">
      <c r="A58" s="81"/>
      <c r="B58" s="82"/>
      <c r="C58" s="83"/>
      <c r="D58" s="83"/>
      <c r="E58" s="84"/>
      <c r="F58" s="85"/>
      <c r="G58" s="59"/>
    </row>
    <row r="59" ht="22.5" customHeight="1">
      <c r="A59" s="81"/>
      <c r="B59" s="82"/>
      <c r="C59" s="83"/>
      <c r="D59" s="83"/>
      <c r="E59" s="84"/>
      <c r="F59" s="85"/>
      <c r="G59" s="59"/>
    </row>
    <row r="60" ht="22.5" customHeight="1">
      <c r="A60" s="81"/>
      <c r="B60" s="82"/>
      <c r="C60" s="83"/>
      <c r="D60" s="83"/>
      <c r="E60" s="84"/>
      <c r="F60" s="85"/>
      <c r="G60" s="59"/>
    </row>
    <row r="61" ht="22.5" customHeight="1">
      <c r="A61" s="81"/>
      <c r="B61" s="82"/>
      <c r="C61" s="83"/>
      <c r="D61" s="83"/>
      <c r="E61" s="84"/>
      <c r="F61" s="85"/>
      <c r="G61" s="59"/>
    </row>
    <row r="62" ht="22.5" customHeight="1">
      <c r="A62" s="81"/>
      <c r="B62" s="82"/>
      <c r="C62" s="83"/>
      <c r="D62" s="83"/>
      <c r="E62" s="84"/>
      <c r="F62" s="85"/>
      <c r="G62" s="59"/>
    </row>
    <row r="63" ht="22.5" customHeight="1">
      <c r="A63" s="81"/>
      <c r="B63" s="82"/>
      <c r="C63" s="83"/>
      <c r="D63" s="83"/>
      <c r="E63" s="84"/>
      <c r="F63" s="85"/>
      <c r="G63" s="59"/>
    </row>
    <row r="64" ht="22.5" customHeight="1">
      <c r="A64" s="81"/>
      <c r="B64" s="82"/>
      <c r="C64" s="83"/>
      <c r="D64" s="83"/>
      <c r="E64" s="84"/>
      <c r="F64" s="85"/>
      <c r="G64" s="59"/>
    </row>
    <row r="65" ht="22.5" customHeight="1">
      <c r="A65" s="81"/>
      <c r="B65" s="82"/>
      <c r="C65" s="83"/>
      <c r="D65" s="83"/>
      <c r="E65" s="84"/>
      <c r="F65" s="85"/>
      <c r="G65" s="59"/>
    </row>
    <row r="66" ht="22.5" customHeight="1">
      <c r="A66" s="81"/>
      <c r="B66" s="82"/>
      <c r="C66" s="83"/>
      <c r="D66" s="83"/>
      <c r="E66" s="84"/>
      <c r="F66" s="85"/>
      <c r="G66" s="59"/>
    </row>
    <row r="67" ht="22.5" customHeight="1">
      <c r="A67" s="81"/>
      <c r="B67" s="82"/>
      <c r="C67" s="83"/>
      <c r="D67" s="83"/>
      <c r="E67" s="84"/>
      <c r="F67" s="85"/>
      <c r="G67" s="59"/>
    </row>
    <row r="68" ht="22.5" customHeight="1">
      <c r="A68" s="81"/>
      <c r="B68" s="82"/>
      <c r="C68" s="83"/>
      <c r="D68" s="83"/>
      <c r="E68" s="84"/>
      <c r="F68" s="85"/>
      <c r="G68" s="59"/>
    </row>
    <row r="69" ht="22.5" customHeight="1">
      <c r="A69" s="81"/>
      <c r="B69" s="82"/>
      <c r="C69" s="83"/>
      <c r="D69" s="83"/>
      <c r="E69" s="84"/>
      <c r="F69" s="85"/>
      <c r="G69" s="59"/>
    </row>
    <row r="70" ht="22.5" customHeight="1">
      <c r="A70" s="81"/>
      <c r="B70" s="82"/>
      <c r="C70" s="83"/>
      <c r="D70" s="83"/>
      <c r="E70" s="84"/>
      <c r="F70" s="85"/>
      <c r="G70" s="59"/>
    </row>
    <row r="71" ht="22.5" customHeight="1">
      <c r="A71" s="81"/>
      <c r="B71" s="82"/>
      <c r="C71" s="83"/>
      <c r="D71" s="83"/>
      <c r="E71" s="84"/>
      <c r="F71" s="85"/>
      <c r="G71" s="59"/>
    </row>
    <row r="72" ht="22.5" customHeight="1">
      <c r="A72" s="81"/>
      <c r="B72" s="82"/>
      <c r="C72" s="83"/>
      <c r="D72" s="83"/>
      <c r="E72" s="84"/>
      <c r="F72" s="85"/>
      <c r="G72" s="59"/>
    </row>
    <row r="73" ht="22.5" customHeight="1">
      <c r="A73" s="81"/>
      <c r="B73" s="82"/>
      <c r="C73" s="83"/>
      <c r="D73" s="83"/>
      <c r="E73" s="84"/>
      <c r="F73" s="85"/>
      <c r="G73" s="59"/>
    </row>
    <row r="74" ht="22.5" customHeight="1">
      <c r="A74" s="81"/>
      <c r="B74" s="82"/>
      <c r="C74" s="83"/>
      <c r="D74" s="83"/>
      <c r="E74" s="84"/>
      <c r="F74" s="85"/>
      <c r="G74" s="59"/>
    </row>
    <row r="75" ht="22.5" customHeight="1">
      <c r="A75" s="81"/>
      <c r="B75" s="82"/>
      <c r="C75" s="83"/>
      <c r="D75" s="83"/>
      <c r="E75" s="84"/>
      <c r="F75" s="85"/>
      <c r="G75" s="59"/>
    </row>
    <row r="76" ht="22.5" customHeight="1">
      <c r="A76" s="81"/>
      <c r="B76" s="82"/>
      <c r="C76" s="83"/>
      <c r="D76" s="83"/>
      <c r="E76" s="84"/>
      <c r="F76" s="85"/>
      <c r="G76" s="59"/>
    </row>
    <row r="77" ht="22.5" customHeight="1">
      <c r="A77" s="81"/>
      <c r="B77" s="82"/>
      <c r="C77" s="83"/>
      <c r="D77" s="83"/>
      <c r="E77" s="84"/>
      <c r="F77" s="85"/>
      <c r="G77" s="59"/>
    </row>
    <row r="78" ht="22.5" customHeight="1">
      <c r="A78" s="81"/>
      <c r="B78" s="82"/>
      <c r="C78" s="83"/>
      <c r="D78" s="83"/>
      <c r="E78" s="84"/>
      <c r="F78" s="85"/>
      <c r="G78" s="59"/>
    </row>
    <row r="79" ht="22.5" customHeight="1">
      <c r="A79" s="81"/>
      <c r="B79" s="82"/>
      <c r="C79" s="83"/>
      <c r="D79" s="83"/>
      <c r="E79" s="84"/>
      <c r="F79" s="85"/>
      <c r="G79" s="59"/>
    </row>
    <row r="80" ht="22.5" customHeight="1">
      <c r="A80" s="81"/>
      <c r="B80" s="82"/>
      <c r="C80" s="83"/>
      <c r="D80" s="83"/>
      <c r="E80" s="84"/>
      <c r="F80" s="85"/>
      <c r="G80" s="59"/>
    </row>
    <row r="81" ht="22.5" customHeight="1">
      <c r="A81" s="81"/>
      <c r="B81" s="82"/>
      <c r="C81" s="83"/>
      <c r="D81" s="83"/>
      <c r="E81" s="84"/>
      <c r="F81" s="85"/>
      <c r="G81" s="59"/>
    </row>
    <row r="82" ht="22.5" customHeight="1">
      <c r="A82" s="81"/>
      <c r="B82" s="82"/>
      <c r="C82" s="83"/>
      <c r="D82" s="83"/>
      <c r="E82" s="84"/>
      <c r="F82" s="85"/>
      <c r="G82" s="59"/>
    </row>
    <row r="83" ht="22.5" customHeight="1">
      <c r="A83" s="81"/>
      <c r="B83" s="82"/>
      <c r="C83" s="83"/>
      <c r="D83" s="83"/>
      <c r="E83" s="84"/>
      <c r="F83" s="85"/>
      <c r="G83" s="59"/>
    </row>
    <row r="84" ht="22.5" customHeight="1">
      <c r="A84" s="81"/>
      <c r="B84" s="82"/>
      <c r="C84" s="83"/>
      <c r="D84" s="83"/>
      <c r="E84" s="84"/>
      <c r="F84" s="85"/>
      <c r="G84" s="59"/>
    </row>
    <row r="85" ht="22.5" customHeight="1">
      <c r="A85" s="81"/>
      <c r="B85" s="82"/>
      <c r="C85" s="83"/>
      <c r="D85" s="83"/>
      <c r="E85" s="84"/>
      <c r="F85" s="85"/>
      <c r="G85" s="59"/>
    </row>
    <row r="86" ht="22.5" customHeight="1">
      <c r="A86" s="81"/>
      <c r="B86" s="82"/>
      <c r="C86" s="83"/>
      <c r="D86" s="83"/>
      <c r="E86" s="84"/>
      <c r="F86" s="85"/>
      <c r="G86" s="59"/>
    </row>
    <row r="87" ht="22.5" customHeight="1">
      <c r="A87" s="81"/>
      <c r="B87" s="82"/>
      <c r="C87" s="83"/>
      <c r="D87" s="83"/>
      <c r="E87" s="84"/>
      <c r="F87" s="85"/>
      <c r="G87" s="59"/>
    </row>
    <row r="88" ht="22.5" customHeight="1">
      <c r="A88" s="81"/>
      <c r="B88" s="82"/>
      <c r="C88" s="83"/>
      <c r="D88" s="83"/>
      <c r="E88" s="84"/>
      <c r="F88" s="85"/>
      <c r="G88" s="59"/>
    </row>
    <row r="89" ht="22.5" customHeight="1">
      <c r="A89" s="81"/>
      <c r="B89" s="82"/>
      <c r="C89" s="83"/>
      <c r="D89" s="83"/>
      <c r="E89" s="84"/>
      <c r="F89" s="85"/>
      <c r="G89" s="59"/>
    </row>
    <row r="90" ht="22.5" customHeight="1">
      <c r="A90" s="81"/>
      <c r="B90" s="82"/>
      <c r="C90" s="83"/>
      <c r="D90" s="83"/>
      <c r="E90" s="84"/>
      <c r="F90" s="85"/>
      <c r="G90" s="59"/>
    </row>
    <row r="91" ht="22.5" customHeight="1">
      <c r="A91" s="81"/>
      <c r="B91" s="82"/>
      <c r="C91" s="83"/>
      <c r="D91" s="83"/>
      <c r="E91" s="84"/>
      <c r="F91" s="85"/>
      <c r="G91" s="59"/>
    </row>
    <row r="92" ht="22.5" customHeight="1">
      <c r="A92" s="81"/>
      <c r="B92" s="82"/>
      <c r="C92" s="83"/>
      <c r="D92" s="83"/>
      <c r="E92" s="84"/>
      <c r="F92" s="85"/>
      <c r="G92" s="59"/>
    </row>
    <row r="93" ht="22.5" customHeight="1">
      <c r="A93" s="81"/>
      <c r="B93" s="82"/>
      <c r="C93" s="83"/>
      <c r="D93" s="83"/>
      <c r="E93" s="84"/>
      <c r="F93" s="85"/>
      <c r="G93" s="59"/>
    </row>
    <row r="94" ht="22.5" customHeight="1">
      <c r="A94" s="81"/>
      <c r="B94" s="82"/>
      <c r="C94" s="83"/>
      <c r="D94" s="83"/>
      <c r="E94" s="84"/>
      <c r="F94" s="85"/>
      <c r="G94" s="59"/>
    </row>
    <row r="95" ht="22.5" customHeight="1">
      <c r="A95" s="81"/>
      <c r="B95" s="82"/>
      <c r="C95" s="83"/>
      <c r="D95" s="83"/>
      <c r="E95" s="84"/>
      <c r="F95" s="85"/>
      <c r="G95" s="59"/>
    </row>
    <row r="96" ht="22.5" customHeight="1">
      <c r="A96" s="81"/>
      <c r="B96" s="82"/>
      <c r="C96" s="83"/>
      <c r="D96" s="83"/>
      <c r="E96" s="84"/>
      <c r="F96" s="85"/>
      <c r="G96" s="59"/>
    </row>
    <row r="97" ht="22.5" customHeight="1">
      <c r="A97" s="81"/>
      <c r="B97" s="82"/>
      <c r="C97" s="83"/>
      <c r="D97" s="83"/>
      <c r="E97" s="84"/>
      <c r="F97" s="85"/>
      <c r="G97" s="59"/>
    </row>
    <row r="98" ht="22.5" customHeight="1">
      <c r="A98" s="81"/>
      <c r="B98" s="82"/>
      <c r="C98" s="83"/>
      <c r="D98" s="83"/>
      <c r="E98" s="84"/>
      <c r="F98" s="85"/>
      <c r="G98" s="59"/>
    </row>
    <row r="99" ht="22.5" customHeight="1">
      <c r="A99" s="81"/>
      <c r="B99" s="82"/>
      <c r="C99" s="83"/>
      <c r="D99" s="83"/>
      <c r="E99" s="84"/>
      <c r="F99" s="85"/>
      <c r="G99" s="59"/>
    </row>
    <row r="100" ht="22.5" customHeight="1">
      <c r="A100" s="81"/>
      <c r="B100" s="82"/>
      <c r="C100" s="83"/>
      <c r="D100" s="83"/>
      <c r="E100" s="84"/>
      <c r="F100" s="85"/>
      <c r="G100" s="59"/>
    </row>
    <row r="101" ht="22.5" customHeight="1">
      <c r="A101" s="81"/>
      <c r="B101" s="82"/>
      <c r="C101" s="83"/>
      <c r="D101" s="83"/>
      <c r="E101" s="84"/>
      <c r="F101" s="85"/>
      <c r="G101" s="59"/>
    </row>
    <row r="102" ht="22.5" customHeight="1">
      <c r="A102" s="81"/>
      <c r="B102" s="82"/>
      <c r="C102" s="83"/>
      <c r="D102" s="83"/>
      <c r="E102" s="84"/>
      <c r="F102" s="85"/>
      <c r="G102" s="59"/>
    </row>
    <row r="103" ht="22.5" customHeight="1">
      <c r="A103" s="81"/>
      <c r="B103" s="82"/>
      <c r="C103" s="83"/>
      <c r="D103" s="83"/>
      <c r="E103" s="84"/>
      <c r="F103" s="85"/>
      <c r="G103" s="59"/>
    </row>
    <row r="104" ht="22.5" customHeight="1">
      <c r="A104" s="81"/>
      <c r="B104" s="82"/>
      <c r="C104" s="83"/>
      <c r="D104" s="83"/>
      <c r="E104" s="84"/>
      <c r="F104" s="85"/>
      <c r="G104" s="59"/>
    </row>
    <row r="105" ht="22.5" customHeight="1">
      <c r="A105" s="81"/>
      <c r="B105" s="82"/>
      <c r="C105" s="83"/>
      <c r="D105" s="83"/>
      <c r="E105" s="84"/>
      <c r="F105" s="85"/>
      <c r="G105" s="59"/>
    </row>
    <row r="106" ht="22.5" customHeight="1">
      <c r="A106" s="81"/>
      <c r="B106" s="82"/>
      <c r="C106" s="83"/>
      <c r="D106" s="83"/>
      <c r="E106" s="84"/>
      <c r="F106" s="85"/>
      <c r="G106" s="59"/>
    </row>
  </sheetData>
  <dataValidations>
    <dataValidation type="list" allowBlank="1" sqref="G2:G106">
      <formula1>"SI,NO,NR,WIP"</formula1>
    </dataValidation>
    <dataValidation type="custom" allowBlank="1" showDropDown="1" sqref="E2:E106">
      <formula1>AND(ISNUMBER(E2),(NOT(OR(NOT(ISERROR(DATEVALUE(E2))), AND(ISNUMBER(E2), LEFT(CELL("format", E2))="D")))))</formula1>
    </dataValidation>
    <dataValidation type="list" allowBlank="1" sqref="A2:A106">
      <formula1>"1,2,Period,Year 1,Year 2,Two Years,Year validation"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5.88"/>
    <col customWidth="1" min="3" max="3" width="61.0"/>
    <col customWidth="1" min="4" max="5" width="8.38"/>
    <col customWidth="1" min="6" max="6" width="7.38"/>
    <col customWidth="1" min="7" max="7" width="29.63"/>
  </cols>
  <sheetData>
    <row r="1">
      <c r="A1" s="5" t="s">
        <v>11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19</v>
      </c>
    </row>
    <row r="2">
      <c r="A2" s="8" t="s">
        <v>20</v>
      </c>
      <c r="B2" s="8" t="s">
        <v>22</v>
      </c>
      <c r="C2" s="8" t="s">
        <v>24</v>
      </c>
      <c r="D2" s="8">
        <v>30000.0</v>
      </c>
      <c r="E2" s="8">
        <v>0.0</v>
      </c>
      <c r="F2" s="12">
        <f t="shared" ref="F2:F16" si="1">D2+E2</f>
        <v>30000</v>
      </c>
      <c r="G2" s="8" t="s">
        <v>27</v>
      </c>
    </row>
    <row r="3">
      <c r="A3" s="8" t="s">
        <v>20</v>
      </c>
      <c r="B3" s="13" t="s">
        <v>28</v>
      </c>
      <c r="C3" s="8" t="s">
        <v>29</v>
      </c>
      <c r="D3" s="8">
        <v>20000.0</v>
      </c>
      <c r="E3" s="8">
        <v>0.0</v>
      </c>
      <c r="F3" s="12">
        <f t="shared" si="1"/>
        <v>20000</v>
      </c>
      <c r="G3" s="8" t="s">
        <v>27</v>
      </c>
    </row>
    <row r="4">
      <c r="A4" s="8" t="s">
        <v>20</v>
      </c>
      <c r="B4" s="17" t="s">
        <v>31</v>
      </c>
      <c r="C4" s="18" t="s">
        <v>32</v>
      </c>
      <c r="D4" s="18">
        <v>15000.0</v>
      </c>
      <c r="E4" s="18">
        <v>15000.0</v>
      </c>
      <c r="F4" s="19">
        <f t="shared" si="1"/>
        <v>30000</v>
      </c>
      <c r="G4" s="18" t="s">
        <v>27</v>
      </c>
    </row>
    <row r="5">
      <c r="A5" s="8" t="s">
        <v>33</v>
      </c>
      <c r="B5" s="20" t="s">
        <v>34</v>
      </c>
      <c r="C5" s="22" t="s">
        <v>35</v>
      </c>
      <c r="D5" s="23">
        <v>0.0</v>
      </c>
      <c r="E5" s="24">
        <v>2000.0</v>
      </c>
      <c r="F5" s="23">
        <f t="shared" si="1"/>
        <v>2000</v>
      </c>
      <c r="G5" s="24" t="s">
        <v>36</v>
      </c>
    </row>
    <row r="6">
      <c r="A6" s="8" t="s">
        <v>20</v>
      </c>
      <c r="B6" s="13" t="s">
        <v>37</v>
      </c>
      <c r="C6" s="25" t="s">
        <v>38</v>
      </c>
      <c r="D6" s="26">
        <v>0.0</v>
      </c>
      <c r="E6" s="26">
        <v>2000.0</v>
      </c>
      <c r="F6" s="26">
        <f t="shared" si="1"/>
        <v>2000</v>
      </c>
      <c r="G6" s="25" t="s">
        <v>36</v>
      </c>
    </row>
    <row r="7">
      <c r="A7" s="2" t="s">
        <v>39</v>
      </c>
      <c r="B7" s="13" t="s">
        <v>40</v>
      </c>
      <c r="C7" s="28" t="s">
        <v>41</v>
      </c>
      <c r="D7" s="29">
        <v>0.0</v>
      </c>
      <c r="E7" s="29">
        <v>3000.0</v>
      </c>
      <c r="F7" s="29">
        <f t="shared" si="1"/>
        <v>3000</v>
      </c>
      <c r="G7" s="28" t="s">
        <v>27</v>
      </c>
    </row>
    <row r="8">
      <c r="A8" s="8" t="s">
        <v>20</v>
      </c>
      <c r="B8" s="30" t="s">
        <v>42</v>
      </c>
      <c r="C8" s="31" t="s">
        <v>43</v>
      </c>
      <c r="D8" s="32">
        <v>0.0</v>
      </c>
      <c r="E8" s="32">
        <v>5000.0</v>
      </c>
      <c r="F8" s="32">
        <f t="shared" si="1"/>
        <v>5000</v>
      </c>
      <c r="G8" s="31" t="s">
        <v>27</v>
      </c>
    </row>
    <row r="9">
      <c r="A9" s="8" t="s">
        <v>20</v>
      </c>
      <c r="B9" s="35" t="s">
        <v>45</v>
      </c>
      <c r="C9" s="28" t="s">
        <v>46</v>
      </c>
      <c r="D9" s="29">
        <v>0.0</v>
      </c>
      <c r="E9" s="29">
        <v>3000.0</v>
      </c>
      <c r="F9" s="29">
        <f t="shared" si="1"/>
        <v>3000</v>
      </c>
      <c r="G9" s="28" t="s">
        <v>27</v>
      </c>
    </row>
    <row r="10">
      <c r="A10" s="8" t="s">
        <v>20</v>
      </c>
      <c r="B10" s="36" t="s">
        <v>47</v>
      </c>
      <c r="C10" s="25" t="s">
        <v>48</v>
      </c>
      <c r="D10" s="26">
        <v>0.0</v>
      </c>
      <c r="E10" s="26">
        <v>7000.0</v>
      </c>
      <c r="F10" s="26">
        <f t="shared" si="1"/>
        <v>7000</v>
      </c>
      <c r="G10" s="25" t="s">
        <v>27</v>
      </c>
    </row>
    <row r="11">
      <c r="A11" s="2" t="s">
        <v>20</v>
      </c>
      <c r="B11" s="13" t="s">
        <v>49</v>
      </c>
      <c r="C11" s="28" t="s">
        <v>50</v>
      </c>
      <c r="D11" s="29">
        <v>0.0</v>
      </c>
      <c r="E11" s="29">
        <v>10000.0</v>
      </c>
      <c r="F11" s="29">
        <f t="shared" si="1"/>
        <v>10000</v>
      </c>
      <c r="G11" s="28" t="s">
        <v>27</v>
      </c>
    </row>
    <row r="12">
      <c r="A12" s="2" t="s">
        <v>20</v>
      </c>
      <c r="B12" s="13" t="s">
        <v>51</v>
      </c>
      <c r="C12" s="25" t="s">
        <v>52</v>
      </c>
      <c r="D12" s="26">
        <v>0.0</v>
      </c>
      <c r="E12" s="26">
        <v>5000.0</v>
      </c>
      <c r="F12" s="26">
        <f t="shared" si="1"/>
        <v>5000</v>
      </c>
      <c r="G12" s="25" t="s">
        <v>27</v>
      </c>
    </row>
    <row r="13">
      <c r="A13" s="2" t="s">
        <v>53</v>
      </c>
      <c r="B13" s="13" t="s">
        <v>54</v>
      </c>
      <c r="C13" s="28" t="s">
        <v>55</v>
      </c>
      <c r="D13" s="29">
        <v>0.0</v>
      </c>
      <c r="E13" s="29">
        <v>4000.0</v>
      </c>
      <c r="F13" s="29">
        <f t="shared" si="1"/>
        <v>4000</v>
      </c>
      <c r="G13" s="28" t="s">
        <v>27</v>
      </c>
    </row>
    <row r="14">
      <c r="A14" s="2" t="s">
        <v>56</v>
      </c>
      <c r="B14" s="13" t="s">
        <v>57</v>
      </c>
      <c r="C14" s="25" t="s">
        <v>58</v>
      </c>
      <c r="D14" s="26">
        <v>0.0</v>
      </c>
      <c r="E14" s="26">
        <v>2000.0</v>
      </c>
      <c r="F14" s="26">
        <f t="shared" si="1"/>
        <v>2000</v>
      </c>
      <c r="G14" s="25" t="s">
        <v>59</v>
      </c>
    </row>
    <row r="15">
      <c r="A15" s="2" t="s">
        <v>56</v>
      </c>
      <c r="B15" s="13" t="s">
        <v>60</v>
      </c>
      <c r="C15" s="28" t="s">
        <v>61</v>
      </c>
      <c r="D15" s="29">
        <v>0.0</v>
      </c>
      <c r="E15" s="29">
        <v>1500.0</v>
      </c>
      <c r="F15" s="29">
        <f t="shared" si="1"/>
        <v>1500</v>
      </c>
      <c r="G15" s="28" t="s">
        <v>59</v>
      </c>
    </row>
    <row r="16">
      <c r="A16" s="2" t="s">
        <v>56</v>
      </c>
      <c r="B16" s="13" t="s">
        <v>63</v>
      </c>
      <c r="C16" s="25" t="s">
        <v>64</v>
      </c>
      <c r="D16" s="26">
        <v>0.0</v>
      </c>
      <c r="E16" s="25">
        <v>3000.0</v>
      </c>
      <c r="F16" s="26">
        <f t="shared" si="1"/>
        <v>3000</v>
      </c>
      <c r="G16" s="25" t="s">
        <v>59</v>
      </c>
    </row>
    <row r="17">
      <c r="A17" s="1" t="s">
        <v>65</v>
      </c>
      <c r="D17" s="29">
        <f t="shared" ref="D17:F17" si="2">SUM(D2:D16)</f>
        <v>65000</v>
      </c>
      <c r="E17" s="29">
        <f t="shared" si="2"/>
        <v>62500</v>
      </c>
      <c r="F17" s="29">
        <f t="shared" si="2"/>
        <v>127500</v>
      </c>
      <c r="G17" s="29"/>
    </row>
    <row r="18">
      <c r="A18" s="4"/>
      <c r="B18" s="4"/>
      <c r="C18" s="4"/>
      <c r="D18" s="4"/>
      <c r="E18" s="4"/>
      <c r="F18" s="4"/>
      <c r="G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</sheetData>
  <mergeCells count="1">
    <mergeCell ref="A17:C1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5.0"/>
    <col customWidth="1" min="4" max="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60.0</v>
      </c>
      <c r="C2" s="2">
        <v>3.0</v>
      </c>
      <c r="D2" s="2">
        <v>75.0</v>
      </c>
      <c r="E2" s="2">
        <v>0.15</v>
      </c>
      <c r="F2" s="2" t="s">
        <v>9</v>
      </c>
      <c r="G2" s="2">
        <v>5841.41</v>
      </c>
      <c r="H2" s="3">
        <f t="shared" ref="H2:H3" si="1">G2*1.22</f>
        <v>7126.5202</v>
      </c>
    </row>
    <row r="3">
      <c r="A3" s="2" t="s">
        <v>10</v>
      </c>
      <c r="B3" s="2">
        <v>65.0</v>
      </c>
      <c r="C3" s="2">
        <v>5.0</v>
      </c>
      <c r="D3" s="2">
        <v>100.0</v>
      </c>
      <c r="E3" s="4"/>
      <c r="F3" s="2" t="s">
        <v>9</v>
      </c>
      <c r="G3" s="6">
        <v>4861.0</v>
      </c>
      <c r="H3" s="3">
        <f t="shared" si="1"/>
        <v>5930.42</v>
      </c>
    </row>
    <row r="4">
      <c r="A4" s="4"/>
      <c r="B4" s="4"/>
      <c r="C4" s="4"/>
      <c r="D4" s="4"/>
      <c r="E4" s="4"/>
      <c r="F4" s="4"/>
      <c r="G4" s="2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</sheetData>
  <drawing r:id="rId1"/>
</worksheet>
</file>