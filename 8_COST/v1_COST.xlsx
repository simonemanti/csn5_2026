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st" sheetId="1" r:id="rId5"/>
    <sheet state="visible" name="2_Cost" sheetId="2" r:id="rId6"/>
    <sheet state="visible" name="3_Cost" sheetId="3" r:id="rId7"/>
    <sheet state="visible" name="X-ray Tubes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Allowed values: 1 or 2 only.</t>
      </text>
    </comment>
    <comment authorId="0" ref="D100">
      <text>
        <t xml:space="preserve">Automatically set to €0 when a cost item is entered.</t>
      </text>
    </comment>
    <comment authorId="0" ref="D67">
      <text>
        <t xml:space="preserve">Automatically set to €0 when a cost item is entered.</t>
      </text>
    </comment>
    <comment authorId="0" ref="D34">
      <text>
        <t xml:space="preserve">Automatically set to €0 when a cost item is entered.</t>
      </text>
    </comment>
    <comment authorId="0" ref="D92">
      <text>
        <t xml:space="preserve">Automatically set to €0 when a cost item is entered.</t>
      </text>
    </comment>
    <comment authorId="0" ref="D59">
      <text>
        <t xml:space="preserve">Automatically set to €0 when a cost item is entered.</t>
      </text>
    </comment>
    <comment authorId="0" ref="D26">
      <text>
        <t xml:space="preserve">Automatically set to €0 when a cost item is entered.</t>
      </text>
    </comment>
    <comment authorId="0" ref="D84">
      <text>
        <t xml:space="preserve">Automatically set to €0 when a cost item is entered.</t>
      </text>
    </comment>
    <comment authorId="0" ref="D51">
      <text>
        <t xml:space="preserve">Automatically set to €0 when a cost item is entered.</t>
      </text>
    </comment>
    <comment authorId="0" ref="D18">
      <text>
        <t xml:space="preserve">Automatically set to €0 when a cost item is entered.</t>
      </text>
    </comment>
    <comment authorId="0" ref="D76">
      <text>
        <t xml:space="preserve">Automatically set to €0 when a cost item is entered.</t>
      </text>
    </comment>
    <comment authorId="0" ref="D43">
      <text>
        <t xml:space="preserve">Automatically set to €0 when a cost item is entered.</t>
      </text>
    </comment>
    <comment authorId="0" ref="D10">
      <text>
        <t xml:space="preserve">Automatically set to €0 when a cost item is entered.</t>
      </text>
    </comment>
    <comment authorId="0" ref="D101">
      <text>
        <t xml:space="preserve">Automatically set to €0 when a cost item is entered.</t>
      </text>
    </comment>
    <comment authorId="0" ref="D68">
      <text>
        <t xml:space="preserve">Automatically set to €0 when a cost item is entered.</t>
      </text>
    </comment>
    <comment authorId="0" ref="D35">
      <text>
        <t xml:space="preserve">Automatically set to €0 when a cost item is entered.</t>
      </text>
    </comment>
    <comment authorId="0" ref="D2">
      <text>
        <t xml:space="preserve">Automatically set to €0 when a cost item is entered.</t>
      </text>
    </comment>
    <comment authorId="0" ref="D93">
      <text>
        <t xml:space="preserve">Automatically set to €0 when a cost item is entered.</t>
      </text>
    </comment>
    <comment authorId="0" ref="D60">
      <text>
        <t xml:space="preserve">Automatically set to €0 when a cost item is entered.</t>
      </text>
    </comment>
    <comment authorId="0" ref="D27">
      <text>
        <t xml:space="preserve">Automatically set to €0 when a cost item is entered.</t>
      </text>
    </comment>
    <comment authorId="0" ref="D85">
      <text>
        <t xml:space="preserve">Automatically set to €0 when a cost item is entered.</t>
      </text>
    </comment>
    <comment authorId="0" ref="D52">
      <text>
        <t xml:space="preserve">Automatically set to €0 when a cost item is entered.</t>
      </text>
    </comment>
    <comment authorId="0" ref="D19">
      <text>
        <t xml:space="preserve">Automatically set to €0 when a cost item is entered.</t>
      </text>
    </comment>
    <comment authorId="0" ref="D77">
      <text>
        <t xml:space="preserve">Automatically set to €0 when a cost item is entered.</t>
      </text>
    </comment>
    <comment authorId="0" ref="D44">
      <text>
        <t xml:space="preserve">Automatically set to €0 when a cost item is entered.</t>
      </text>
    </comment>
    <comment authorId="0" ref="D102">
      <text>
        <t xml:space="preserve">Automatically set to €0 when a cost item is entered.</t>
      </text>
    </comment>
    <comment authorId="0" ref="D69">
      <text>
        <t xml:space="preserve">Automatically set to €0 when a cost item is entered.</t>
      </text>
    </comment>
    <comment authorId="0" ref="D36">
      <text>
        <t xml:space="preserve">Automatically set to €0 when a cost item is entered.</t>
      </text>
    </comment>
    <comment authorId="0" ref="D3">
      <text>
        <t xml:space="preserve">Automatically set to €0 when a cost item is entered.</t>
      </text>
    </comment>
    <comment authorId="0" ref="D94">
      <text>
        <t xml:space="preserve">Automatically set to €0 when a cost item is entered.</t>
      </text>
    </comment>
    <comment authorId="0" ref="D61">
      <text>
        <t xml:space="preserve">Automatically set to €0 when a cost item is entered.</t>
      </text>
    </comment>
    <comment authorId="0" ref="D28">
      <text>
        <t xml:space="preserve">Automatically set to €0 when a cost item is entered.</t>
      </text>
    </comment>
    <comment authorId="0" ref="D86">
      <text>
        <t xml:space="preserve">Automatically set to €0 when a cost item is entered.</t>
      </text>
    </comment>
    <comment authorId="0" ref="D53">
      <text>
        <t xml:space="preserve">Automatically set to €0 when a cost item is entered.</t>
      </text>
    </comment>
    <comment authorId="0" ref="D20">
      <text>
        <t xml:space="preserve">Automatically set to €0 when a cost item is entered.</t>
      </text>
    </comment>
    <comment authorId="0" ref="D78">
      <text>
        <t xml:space="preserve">Automatically set to €0 when a cost item is entered.</t>
      </text>
    </comment>
    <comment authorId="0" ref="D45">
      <text>
        <t xml:space="preserve">Automatically set to €0 when a cost item is entered.</t>
      </text>
    </comment>
    <comment authorId="0" ref="D103">
      <text>
        <t xml:space="preserve">Automatically set to €0 when a cost item is entered.</t>
      </text>
    </comment>
    <comment authorId="0" ref="D70">
      <text>
        <t xml:space="preserve">Automatically set to €0 when a cost item is entered.</t>
      </text>
    </comment>
    <comment authorId="0" ref="D37">
      <text>
        <t xml:space="preserve">Automatically set to €0 when a cost item is entered.</t>
      </text>
    </comment>
    <comment authorId="0" ref="D4">
      <text>
        <t xml:space="preserve">Automatically set to €0 when a cost item is entered.</t>
      </text>
    </comment>
    <comment authorId="0" ref="D95">
      <text>
        <t xml:space="preserve">Automatically set to €0 when a cost item is entered.</t>
      </text>
    </comment>
    <comment authorId="0" ref="D62">
      <text>
        <t xml:space="preserve">Automatically set to €0 when a cost item is entered.</t>
      </text>
    </comment>
    <comment authorId="0" ref="D29">
      <text>
        <t xml:space="preserve">Automatically set to €0 when a cost item is entered.</t>
      </text>
    </comment>
    <comment authorId="0" ref="D87">
      <text>
        <t xml:space="preserve">Automatically set to €0 when a cost item is entered.</t>
      </text>
    </comment>
    <comment authorId="0" ref="D54">
      <text>
        <t xml:space="preserve">Automatically set to €0 when a cost item is entered.</t>
      </text>
    </comment>
    <comment authorId="0" ref="D21">
      <text>
        <t xml:space="preserve">Automatically set to €0 when a cost item is entered.</t>
      </text>
    </comment>
    <comment authorId="0" ref="D79">
      <text>
        <t xml:space="preserve">Automatically set to €0 when a cost item is entered.</t>
      </text>
    </comment>
    <comment authorId="0" ref="D46">
      <text>
        <t xml:space="preserve">Automatically set to €0 when a cost item is entered.</t>
      </text>
    </comment>
    <comment authorId="0" ref="D104">
      <text>
        <t xml:space="preserve">Automatically set to €0 when a cost item is entered.</t>
      </text>
    </comment>
    <comment authorId="0" ref="D71">
      <text>
        <t xml:space="preserve">Automatically set to €0 when a cost item is entered.</t>
      </text>
    </comment>
    <comment authorId="0" ref="D38">
      <text>
        <t xml:space="preserve">Automatically set to €0 when a cost item is entered.</t>
      </text>
    </comment>
    <comment authorId="0" ref="D5">
      <text>
        <t xml:space="preserve">Automatically set to €0 when a cost item is entered.</t>
      </text>
    </comment>
    <comment authorId="0" ref="D96">
      <text>
        <t xml:space="preserve">Automatically set to €0 when a cost item is entered.</t>
      </text>
    </comment>
    <comment authorId="0" ref="D63">
      <text>
        <t xml:space="preserve">Automatically set to €0 when a cost item is entered.</t>
      </text>
    </comment>
    <comment authorId="0" ref="D30">
      <text>
        <t xml:space="preserve">Automatically set to €0 when a cost item is entered.</t>
      </text>
    </comment>
    <comment authorId="0" ref="D88">
      <text>
        <t xml:space="preserve">Automatically set to €0 when a cost item is entered.</t>
      </text>
    </comment>
    <comment authorId="0" ref="D55">
      <text>
        <t xml:space="preserve">Automatically set to €0 when a cost item is entered.</t>
      </text>
    </comment>
    <comment authorId="0" ref="D22">
      <text>
        <t xml:space="preserve">Automatically set to €0 when a cost item is entered.</t>
      </text>
    </comment>
    <comment authorId="0" ref="D80">
      <text>
        <t xml:space="preserve">Automatically set to €0 when a cost item is entered.</t>
      </text>
    </comment>
    <comment authorId="0" ref="D47">
      <text>
        <t xml:space="preserve">Automatically set to €0 when a cost item is entered.</t>
      </text>
    </comment>
    <comment authorId="0" ref="D14">
      <text>
        <t xml:space="preserve">Automatically set to €0 when a cost item is entered.</t>
      </text>
    </comment>
    <comment authorId="0" ref="D105">
      <text>
        <t xml:space="preserve">Automatically set to €0 when a cost item is entered.</t>
      </text>
    </comment>
    <comment authorId="0" ref="D72">
      <text>
        <t xml:space="preserve">Automatically set to €0 when a cost item is entered.</t>
      </text>
    </comment>
    <comment authorId="0" ref="D39">
      <text>
        <t xml:space="preserve">Automatically set to €0 when a cost item is entered.</t>
      </text>
    </comment>
    <comment authorId="0" ref="D97">
      <text>
        <t xml:space="preserve">Automatically set to €0 when a cost item is entered.</t>
      </text>
    </comment>
    <comment authorId="0" ref="D64">
      <text>
        <t xml:space="preserve">Automatically set to €0 when a cost item is entered.</t>
      </text>
    </comment>
    <comment authorId="0" ref="D31">
      <text>
        <t xml:space="preserve">Automatically set to €0 when a cost item is entered.</t>
      </text>
    </comment>
    <comment authorId="0" ref="D89">
      <text>
        <t xml:space="preserve">Automatically set to €0 when a cost item is entered.</t>
      </text>
    </comment>
    <comment authorId="0" ref="D56">
      <text>
        <t xml:space="preserve">Automatically set to €0 when a cost item is entered.</t>
      </text>
    </comment>
    <comment authorId="0" ref="D23">
      <text>
        <t xml:space="preserve">Automatically set to €0 when a cost item is entered.</t>
      </text>
    </comment>
    <comment authorId="0" ref="D81">
      <text>
        <t xml:space="preserve">Automatically set to €0 when a cost item is entered.</t>
      </text>
    </comment>
    <comment authorId="0" ref="D48">
      <text>
        <t xml:space="preserve">Automatically set to €0 when a cost item is entered.</t>
      </text>
    </comment>
    <comment authorId="0" ref="D15">
      <text>
        <t xml:space="preserve">Automatically set to €0 when a cost item is entered.</t>
      </text>
    </comment>
    <comment authorId="0" ref="D106">
      <text>
        <t xml:space="preserve">Automatically set to €0 when a cost item is entered.</t>
      </text>
    </comment>
    <comment authorId="0" ref="D73">
      <text>
        <t xml:space="preserve">Automatically set to €0 when a cost item is entered.</t>
      </text>
    </comment>
    <comment authorId="0" ref="D40">
      <text>
        <t xml:space="preserve">Automatically set to €0 when a cost item is entered.</t>
      </text>
    </comment>
    <comment authorId="0" ref="D98">
      <text>
        <t xml:space="preserve">Automatically set to €0 when a cost item is entered.</t>
      </text>
    </comment>
    <comment authorId="0" ref="D65">
      <text>
        <t xml:space="preserve">Automatically set to €0 when a cost item is entered.</t>
      </text>
    </comment>
    <comment authorId="0" ref="D32">
      <text>
        <t xml:space="preserve">Automatically set to €0 when a cost item is entered.</t>
      </text>
    </comment>
    <comment authorId="0" ref="D90">
      <text>
        <t xml:space="preserve">Automatically set to €0 when a cost item is entered.</t>
      </text>
    </comment>
    <comment authorId="0" ref="D57">
      <text>
        <t xml:space="preserve">Automatically set to €0 when a cost item is entered.</t>
      </text>
    </comment>
    <comment authorId="0" ref="D24">
      <text>
        <t xml:space="preserve">Automatically set to €0 when a cost item is entered.</t>
      </text>
    </comment>
    <comment authorId="0" ref="D82">
      <text>
        <t xml:space="preserve">Automatically set to €0 when a cost item is entered.</t>
      </text>
    </comment>
    <comment authorId="0" ref="D49">
      <text>
        <t xml:space="preserve">Automatically set to €0 when a cost item is entered.</t>
      </text>
    </comment>
    <comment authorId="0" ref="D16">
      <text>
        <t xml:space="preserve">Automatically set to €0 when a cost item is entered.</t>
      </text>
    </comment>
    <comment authorId="0" ref="D74">
      <text>
        <t xml:space="preserve">Automatically set to €0 when a cost item is entered.</t>
      </text>
    </comment>
    <comment authorId="0" ref="D41">
      <text>
        <t xml:space="preserve">Automatically set to €0 when a cost item is entered.</t>
      </text>
    </comment>
    <comment authorId="0" ref="D99">
      <text>
        <t xml:space="preserve">Automatically set to €0 when a cost item is entered.</t>
      </text>
    </comment>
    <comment authorId="0" ref="D66">
      <text>
        <t xml:space="preserve">Automatically set to €0 when a cost item is entered.</t>
      </text>
    </comment>
    <comment authorId="0" ref="D33">
      <text>
        <t xml:space="preserve">Automatically set to €0 when a cost item is entered.</t>
      </text>
    </comment>
    <comment authorId="0" ref="D91">
      <text>
        <t xml:space="preserve">Automatically set to €0 when a cost item is entered.</t>
      </text>
    </comment>
    <comment authorId="0" ref="D58">
      <text>
        <t xml:space="preserve">Automatically set to €0 when a cost item is entered.</t>
      </text>
    </comment>
    <comment authorId="0" ref="D25">
      <text>
        <t xml:space="preserve">Automatically set to €0 when a cost item is entered.</t>
      </text>
    </comment>
    <comment authorId="0" ref="D83">
      <text>
        <t xml:space="preserve">Automatically set to €0 when a cost item is entered.</t>
      </text>
    </comment>
    <comment authorId="0" ref="D50">
      <text>
        <t xml:space="preserve">Automatically set to €0 when a cost item is entered.</t>
      </text>
    </comment>
    <comment authorId="0" ref="D17">
      <text>
        <t xml:space="preserve">Automatically set to €0 when a cost item is entered.</t>
      </text>
    </comment>
    <comment authorId="0" ref="D75">
      <text>
        <t xml:space="preserve">Automatically set to €0 when a cost item is entered.</t>
      </text>
    </comment>
    <comment authorId="0" ref="D42">
      <text>
        <t xml:space="preserve">Automatically set to €0 when a cost item is entered.</t>
      </text>
    </comment>
    <comment authorId="0" ref="D9">
      <text>
        <t xml:space="preserve">Automatically set to €0 when a cost item is entered.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Assumption: preliminary budget based on supplier prices already entered in the workbook, including VAT.</t>
      </text>
    </comment>
  </commentList>
</comments>
</file>

<file path=xl/sharedStrings.xml><?xml version="1.0" encoding="utf-8"?>
<sst xmlns="http://schemas.openxmlformats.org/spreadsheetml/2006/main" count="166" uniqueCount="117">
  <si>
    <t>Year</t>
  </si>
  <si>
    <t>Category</t>
  </si>
  <si>
    <t>Cost category</t>
  </si>
  <si>
    <t>Item</t>
  </si>
  <si>
    <t>Purpose/WP</t>
  </si>
  <si>
    <t>Item / description</t>
  </si>
  <si>
    <t>Purpose / related WP</t>
  </si>
  <si>
    <t>Cost [€]</t>
  </si>
  <si>
    <t>2027 (€)</t>
  </si>
  <si>
    <t>2028 (€)</t>
  </si>
  <si>
    <t>Total (€)</t>
  </si>
  <si>
    <t>Equipment</t>
  </si>
  <si>
    <t>Quotation</t>
  </si>
  <si>
    <t>CZT Detector and Front-End</t>
  </si>
  <si>
    <t>Fluorescence Detection - WP2</t>
  </si>
  <si>
    <t>Multichannel CZT detector</t>
  </si>
  <si>
    <t>Multichannel fluorescence detection and spectral acquisition – WP2</t>
  </si>
  <si>
    <t>Digitizer and DAQ</t>
  </si>
  <si>
    <t>Signal Acquisition - WP2</t>
  </si>
  <si>
    <t>Motorized Stages and Controllers</t>
  </si>
  <si>
    <t>Automated Positioning - WP3</t>
  </si>
  <si>
    <t>Consumables</t>
  </si>
  <si>
    <t>Ag Reference Targets</t>
  </si>
  <si>
    <t>Calibration Tests - WP2/WP4</t>
  </si>
  <si>
    <t>Producer</t>
  </si>
  <si>
    <t>Required – detailed quotation attached</t>
  </si>
  <si>
    <t>Digitizer</t>
  </si>
  <si>
    <t>Max Voltage [kV]</t>
  </si>
  <si>
    <t>Max Current [mA]</t>
  </si>
  <si>
    <t>Multichannel signal digitization and synchronized data acquisition – WP2</t>
  </si>
  <si>
    <t>Max Power [W]</t>
  </si>
  <si>
    <t>Year (1 or 2) ▼</t>
  </si>
  <si>
    <t>Services</t>
  </si>
  <si>
    <t>Spot Size [mm]</t>
  </si>
  <si>
    <t>Custom Mechanical Supports</t>
  </si>
  <si>
    <t>Anode</t>
  </si>
  <si>
    <t>Instrument Integration - WP3</t>
  </si>
  <si>
    <t>Price</t>
  </si>
  <si>
    <t>Bent crystal optics</t>
  </si>
  <si>
    <t>Price+VAT</t>
  </si>
  <si>
    <t>Micro-Xray</t>
  </si>
  <si>
    <t>Computing</t>
  </si>
  <si>
    <t>Ge/Si bent crystals for selected absorption edges above 20 keV – WP1/WP2</t>
  </si>
  <si>
    <t>DataCloud CPU and Storage</t>
  </si>
  <si>
    <t>End-to-End Simulations - WP1</t>
  </si>
  <si>
    <t>Total 2027</t>
  </si>
  <si>
    <t>W</t>
  </si>
  <si>
    <t>Reference samples and targets</t>
  </si>
  <si>
    <t>Cost Element / Activity</t>
  </si>
  <si>
    <t>Ag, Mo, Rh and Cd standards for calibration and validation – WP3/WP4</t>
  </si>
  <si>
    <t>Cooled X-ray Tube</t>
  </si>
  <si>
    <t>Cost (€)</t>
  </si>
  <si>
    <t>Excitation Source — WP3</t>
  </si>
  <si>
    <t>Supplier estimate</t>
  </si>
  <si>
    <t>Precision slits</t>
  </si>
  <si>
    <t>X-ray Tube Power Supply</t>
  </si>
  <si>
    <t>In-Kind (€)</t>
  </si>
  <si>
    <t>Source Operation — WP3</t>
  </si>
  <si>
    <t>Beam definition, collimation and background control – WP2/WP3</t>
  </si>
  <si>
    <t>% of Year Cost</t>
  </si>
  <si>
    <t>Travel</t>
  </si>
  <si>
    <t>Oral Conference Travel</t>
  </si>
  <si>
    <t>Results Dissemination — WP4</t>
  </si>
  <si>
    <t>Rontgen</t>
  </si>
  <si>
    <t>% of Total Budget</t>
  </si>
  <si>
    <t>Bent Crystal Optics</t>
  </si>
  <si>
    <t>Custom sample and CZT supports</t>
  </si>
  <si>
    <t>Energy Selection — WP3</t>
  </si>
  <si>
    <t>Custom mechanical holders for sample positioning and detector alignment – WP2</t>
  </si>
  <si>
    <t>Additional Reference Targets</t>
  </si>
  <si>
    <t>Multi-Edge Validation — WP4</t>
  </si>
  <si>
    <t>Motorized translation stages</t>
  </si>
  <si>
    <t>Total 2028</t>
  </si>
  <si>
    <t>Automated linear positioning of optics, samples and detector – WP2/WP3</t>
  </si>
  <si>
    <t>Total</t>
  </si>
  <si>
    <t>Motorized rotation stages</t>
  </si>
  <si>
    <t>Angular alignment of bent crystals and sample geometry – WP2/WP3</t>
  </si>
  <si>
    <t>CZT custom multicanale</t>
  </si>
  <si>
    <t>X-ray tube</t>
  </si>
  <si>
    <t>Laboratory excitation source for fluorescence-XAS measurements – WP2/WP3</t>
  </si>
  <si>
    <t>X-ray tube power supply</t>
  </si>
  <si>
    <t>Dedicated high-voltage/current supply for the X-ray tube – WP2</t>
  </si>
  <si>
    <t>Closed-loop cooling system</t>
  </si>
  <si>
    <t>Thermal stabilization and cooling of the X-ray tube assembly – WP2/WP3</t>
  </si>
  <si>
    <t>Consumables / services</t>
  </si>
  <si>
    <t>Consumables and precision machining</t>
  </si>
  <si>
    <t>Prototyping, cabling, shielding and minor mechanical adaptations – WP2/WP3</t>
  </si>
  <si>
    <t>Experimental activity at collaborating facilities</t>
  </si>
  <si>
    <t>Setup tests and comparative measurements supporting validation – WP3/WP4</t>
  </si>
  <si>
    <t>Internal estimate</t>
  </si>
  <si>
    <t>Project and collaboration meetings</t>
  </si>
  <si>
    <t>Technical coordination and integration meetings – WP1–WP4</t>
  </si>
  <si>
    <t>EXRS 2028 conference (oral presentation only)</t>
  </si>
  <si>
    <t>Dissemination of final results, conditional on accepted oral presentation – WP4</t>
  </si>
  <si>
    <t>Total requested</t>
  </si>
  <si>
    <t>WIP</t>
  </si>
  <si>
    <t>SI</t>
  </si>
  <si>
    <t>Cristalli Ge (880)</t>
  </si>
  <si>
    <t>Target e Campioni</t>
  </si>
  <si>
    <t>NO</t>
  </si>
  <si>
    <t>Slits</t>
  </si>
  <si>
    <t>NR</t>
  </si>
  <si>
    <t>Supporto campione + CZT</t>
  </si>
  <si>
    <t>Assi, motori e movimentazioni</t>
  </si>
  <si>
    <t>Tube power supply</t>
  </si>
  <si>
    <t>Chiller o sistema di raffreddamento</t>
  </si>
  <si>
    <t>Travels</t>
  </si>
  <si>
    <t>Consumabili e lavorazioni</t>
  </si>
  <si>
    <t>Two-Year Budget Summary</t>
  </si>
  <si>
    <t>Period</t>
  </si>
  <si>
    <t>Summary</t>
  </si>
  <si>
    <t>Year 1</t>
  </si>
  <si>
    <t>Total cost</t>
  </si>
  <si>
    <t>Year 2</t>
  </si>
  <si>
    <t>Two Years</t>
  </si>
  <si>
    <t>Total budget</t>
  </si>
  <si>
    <t>Year validation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</si>
</sst>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€]#,##0"/>
    <numFmt numFmtId="165" formatCode="General"/>
    <numFmt numFmtId="166" formatCode="€ #,##0;[Red](€ #,##0);€ 0"/>
    <numFmt numFmtId="167" formatCode="0.0%"/>
  </numFmts>
  <fonts count="19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0.0"/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b/>
      <sz val="11.0"/>
      <color theme="1"/>
      <name val="Arial"/>
    </font>
    <font>
      <b/>
      <sz val="11.0"/>
      <color theme="1"/>
      <name val="Arial"/>
      <scheme val="minor"/>
    </font>
    <font>
      <sz val="11.0"/>
      <color rgb="FF000000"/>
      <name val="Arial"/>
    </font>
    <font>
      <sz val="11.0"/>
      <color rgb="FF000000"/>
      <name val="Arial"/>
      <scheme val="minor"/>
    </font>
    <font>
      <color rgb="FF0070C0"/>
      <name val="Arial"/>
    </font>
    <font>
      <sz val="11.0"/>
      <color rgb="FF222222"/>
      <name val="Arial"/>
    </font>
    <font>
      <b/>
      <sz val="12.0"/>
      <color rgb="FFFFFFFF"/>
      <name val="Arial"/>
    </font>
    <font>
      <b/>
      <sz val="10.0"/>
      <color rgb="FF000000"/>
      <name val="Arial"/>
    </font>
    <font>
      <b/>
      <color rgb="FF000000"/>
      <name val="Arial"/>
    </font>
    <font>
      <color rgb="FF222222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7F0E"/>
        <bgColor rgb="FFFF7F0E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</fills>
  <borders count="7">
    <border/>
    <border>
      <top style="thin">
        <color rgb="FFA6A6A6"/>
      </top>
      <bottom style="thin">
        <color rgb="FFD9D9D9"/>
      </bottom>
    </border>
    <border>
      <bottom style="thin">
        <color rgb="FF1F77B4"/>
      </bottom>
    </border>
    <border>
      <bottom style="thin">
        <color rgb="FFD9D9D9"/>
      </bottom>
    </border>
    <border>
      <bottom style="thin">
        <color rgb="FFCC650B"/>
      </bottom>
    </border>
    <border>
      <bottom style="thin">
        <color rgb="FFFF7F0E"/>
      </bottom>
    </border>
    <border>
      <bottom style="double">
        <color rgb="FF000000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6" numFmtId="0" xfId="0" applyAlignment="1" applyFont="1">
      <alignment horizontal="center" readingOrder="0"/>
    </xf>
    <xf borderId="0" fillId="2" fontId="7" numFmtId="165" xfId="0" applyAlignment="1" applyFill="1" applyFont="1" applyNumberFormat="1">
      <alignment horizontal="center" readingOrder="0"/>
    </xf>
    <xf borderId="0" fillId="2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0" fillId="2" fontId="5" numFmtId="164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 shrinkToFit="0" vertical="center" wrapText="0"/>
    </xf>
    <xf borderId="0" fillId="3" fontId="8" numFmtId="165" xfId="0" applyAlignment="1" applyFill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3" fontId="8" numFmtId="0" xfId="0" applyAlignment="1" applyFont="1">
      <alignment horizontal="center" readingOrder="0"/>
    </xf>
    <xf borderId="0" fillId="3" fontId="5" numFmtId="164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0" fillId="2" fontId="7" numFmtId="164" xfId="0" applyAlignment="1" applyFont="1" applyNumberFormat="1">
      <alignment horizontal="center" readingOrder="0"/>
    </xf>
    <xf borderId="0" fillId="0" fontId="8" numFmtId="2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3" fontId="7" numFmtId="0" xfId="0" applyAlignment="1" applyFont="1">
      <alignment horizontal="center" readingOrder="0"/>
    </xf>
    <xf borderId="0" fillId="0" fontId="10" numFmtId="0" xfId="0" applyAlignment="1" applyFont="1">
      <alignment horizontal="left" readingOrder="0" shrinkToFit="0" vertical="center" wrapText="0"/>
    </xf>
    <xf borderId="0" fillId="3" fontId="7" numFmtId="164" xfId="0" applyAlignment="1" applyFont="1" applyNumberFormat="1">
      <alignment horizontal="center" readingOrder="0"/>
    </xf>
    <xf borderId="0" fillId="0" fontId="8" numFmtId="2" xfId="0" applyAlignment="1" applyFont="1" applyNumberFormat="1">
      <alignment horizontal="center" readingOrder="0"/>
    </xf>
    <xf borderId="0" fillId="0" fontId="8" numFmtId="165" xfId="0" applyFont="1" applyNumberFormat="1"/>
    <xf borderId="0" fillId="0" fontId="6" numFmtId="0" xfId="0" applyFont="1"/>
    <xf borderId="0" fillId="2" fontId="0" numFmtId="165" xfId="0" applyAlignment="1" applyFont="1" applyNumberFormat="1">
      <alignment horizontal="center" readingOrder="0"/>
    </xf>
    <xf borderId="0" fillId="2" fontId="0" numFmtId="0" xfId="0" applyAlignment="1" applyFont="1">
      <alignment horizontal="center" readingOrder="0"/>
    </xf>
    <xf borderId="0" fillId="2" fontId="0" numFmtId="164" xfId="0" applyAlignment="1" applyFont="1" applyNumberFormat="1">
      <alignment horizontal="center" readingOrder="0"/>
    </xf>
    <xf borderId="1" fillId="2" fontId="7" numFmtId="165" xfId="0" applyAlignment="1" applyBorder="1" applyFont="1" applyNumberFormat="1">
      <alignment horizontal="center" readingOrder="0"/>
    </xf>
    <xf borderId="0" fillId="0" fontId="3" numFmtId="164" xfId="0" applyAlignment="1" applyFont="1" applyNumberFormat="1">
      <alignment horizontal="center"/>
    </xf>
    <xf borderId="0" fillId="2" fontId="11" numFmtId="1" xfId="0" applyAlignment="1" applyFont="1" applyNumberFormat="1">
      <alignment horizontal="center" readingOrder="0" shrinkToFit="0" vertical="center" wrapText="0"/>
    </xf>
    <xf borderId="2" fillId="2" fontId="7" numFmtId="165" xfId="0" applyAlignment="1" applyBorder="1" applyFont="1" applyNumberFormat="1">
      <alignment horizontal="center" readingOrder="0"/>
    </xf>
    <xf borderId="0" fillId="2" fontId="11" numFmtId="165" xfId="0" applyAlignment="1" applyFont="1" applyNumberFormat="1">
      <alignment horizontal="center" readingOrder="0" shrinkToFit="0" vertical="center" wrapText="0"/>
    </xf>
    <xf borderId="0" fillId="2" fontId="11" numFmtId="166" xfId="0" applyAlignment="1" applyFont="1" applyNumberFormat="1">
      <alignment horizontal="center" readingOrder="0" shrinkToFit="0" vertical="center" wrapText="0"/>
    </xf>
    <xf borderId="0" fillId="2" fontId="11" numFmtId="166" xfId="0" applyAlignment="1" applyFont="1" applyNumberFormat="1">
      <alignment horizontal="center" shrinkToFit="0" vertical="center" wrapText="0"/>
    </xf>
    <xf borderId="3" fillId="2" fontId="11" numFmtId="167" xfId="0" applyAlignment="1" applyBorder="1" applyFont="1" applyNumberFormat="1">
      <alignment horizontal="center" shrinkToFit="0" vertical="center" wrapText="0"/>
    </xf>
    <xf borderId="0" fillId="3" fontId="7" numFmtId="0" xfId="0" applyAlignment="1" applyFont="1">
      <alignment horizontal="center" readingOrder="0"/>
    </xf>
    <xf borderId="0" fillId="2" fontId="11" numFmtId="167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8" numFmtId="166" xfId="0" applyFont="1" applyNumberFormat="1"/>
    <xf borderId="0" fillId="0" fontId="8" numFmtId="167" xfId="0" applyFont="1" applyNumberFormat="1"/>
    <xf borderId="0" fillId="2" fontId="11" numFmtId="0" xfId="0" applyAlignment="1" applyFont="1">
      <alignment horizontal="center" readingOrder="0" shrinkToFit="0" vertical="center" wrapText="0"/>
    </xf>
    <xf borderId="0" fillId="0" fontId="12" numFmtId="165" xfId="0" applyAlignment="1" applyFont="1" applyNumberFormat="1">
      <alignment horizontal="center" readingOrder="0" shrinkToFit="0" vertical="center" wrapText="0"/>
    </xf>
    <xf borderId="0" fillId="0" fontId="8" numFmtId="0" xfId="0" applyFont="1"/>
    <xf borderId="1" fillId="2" fontId="11" numFmtId="1" xfId="0" applyAlignment="1" applyBorder="1" applyFont="1" applyNumberFormat="1">
      <alignment horizontal="center" readingOrder="0" shrinkToFit="0" vertical="center" wrapText="0"/>
    </xf>
    <xf borderId="1" fillId="2" fontId="11" numFmtId="165" xfId="0" applyAlignment="1" applyBorder="1" applyFont="1" applyNumberFormat="1">
      <alignment horizontal="center" readingOrder="0" shrinkToFit="0" vertical="center" wrapText="0"/>
    </xf>
    <xf borderId="1" fillId="2" fontId="11" numFmtId="166" xfId="0" applyAlignment="1" applyBorder="1" applyFont="1" applyNumberFormat="1">
      <alignment horizontal="center" readingOrder="0" shrinkToFit="0" vertical="center" wrapText="0"/>
    </xf>
    <xf borderId="2" fillId="2" fontId="11" numFmtId="1" xfId="0" applyAlignment="1" applyBorder="1" applyFont="1" applyNumberFormat="1">
      <alignment horizontal="center" readingOrder="0" shrinkToFit="0" vertical="center" wrapText="0"/>
    </xf>
    <xf borderId="2" fillId="2" fontId="11" numFmtId="165" xfId="0" applyAlignment="1" applyBorder="1" applyFont="1" applyNumberFormat="1">
      <alignment horizontal="center" readingOrder="0" shrinkToFit="0" vertical="center" wrapText="0"/>
    </xf>
    <xf borderId="2" fillId="2" fontId="11" numFmtId="166" xfId="0" applyAlignment="1" applyBorder="1" applyFont="1" applyNumberFormat="1">
      <alignment horizontal="center" readingOrder="0" shrinkToFit="0" vertical="center" wrapText="0"/>
    </xf>
    <xf borderId="2" fillId="2" fontId="11" numFmtId="166" xfId="0" applyAlignment="1" applyBorder="1" applyFont="1" applyNumberFormat="1">
      <alignment horizontal="center" shrinkToFit="0" vertical="center" wrapText="0"/>
    </xf>
    <xf borderId="2" fillId="2" fontId="11" numFmtId="167" xfId="0" applyAlignment="1" applyBorder="1" applyFont="1" applyNumberFormat="1">
      <alignment horizontal="center" shrinkToFit="0" vertical="center" wrapText="0"/>
    </xf>
    <xf borderId="2" fillId="2" fontId="11" numFmtId="167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readingOrder="0" shrinkToFit="0" vertical="center" wrapText="0"/>
    </xf>
    <xf borderId="0" fillId="2" fontId="11" numFmtId="167" xfId="0" applyAlignment="1" applyFont="1" applyNumberForma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165" xfId="0" applyAlignment="1" applyFont="1" applyNumberFormat="1">
      <alignment horizontal="center" readingOrder="0" shrinkToFit="0" vertical="center" wrapText="0"/>
    </xf>
    <xf borderId="0" fillId="0" fontId="13" numFmtId="166" xfId="0" applyAlignment="1" applyFont="1" applyNumberFormat="1">
      <alignment horizontal="center" readingOrder="0" shrinkToFit="0" vertical="center" wrapText="0"/>
    </xf>
    <xf borderId="0" fillId="2" fontId="14" numFmtId="166" xfId="0" applyAlignment="1" applyFont="1" applyNumberFormat="1">
      <alignment horizontal="center" shrinkToFit="0" vertical="center" wrapText="0"/>
    </xf>
    <xf borderId="3" fillId="2" fontId="14" numFmtId="167" xfId="0" applyAlignment="1" applyBorder="1" applyFont="1" applyNumberFormat="1">
      <alignment horizontal="center" shrinkToFit="0" vertical="center" wrapText="0"/>
    </xf>
    <xf borderId="0" fillId="2" fontId="14" numFmtId="167" xfId="0" applyAlignment="1" applyFont="1" applyNumberForma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0" fillId="0" fontId="13" numFmtId="0" xfId="0" applyAlignment="1" applyFont="1">
      <alignment shrinkToFit="0" vertical="center" wrapText="0"/>
    </xf>
    <xf borderId="0" fillId="0" fontId="13" numFmtId="165" xfId="0" applyAlignment="1" applyFont="1" applyNumberFormat="1">
      <alignment horizontal="center" shrinkToFit="0" vertical="center" wrapText="0"/>
    </xf>
    <xf borderId="0" fillId="0" fontId="13" numFmtId="166" xfId="0" applyAlignment="1" applyFont="1" applyNumberFormat="1">
      <alignment horizontal="center" shrinkToFit="0" vertical="center" wrapText="0"/>
    </xf>
    <xf borderId="4" fillId="4" fontId="15" numFmtId="0" xfId="0" applyAlignment="1" applyBorder="1" applyFill="1" applyFont="1">
      <alignment readingOrder="0" shrinkToFit="0" vertical="center" wrapText="0"/>
    </xf>
    <xf borderId="4" fillId="4" fontId="15" numFmtId="165" xfId="0" applyAlignment="1" applyBorder="1" applyFont="1" applyNumberFormat="1">
      <alignment horizontal="center" readingOrder="0" shrinkToFit="0" vertical="center" wrapText="0"/>
    </xf>
    <xf borderId="4" fillId="4" fontId="15" numFmtId="166" xfId="0" applyAlignment="1" applyBorder="1" applyFont="1" applyNumberFormat="1">
      <alignment horizontal="center" shrinkToFit="0" vertical="center" wrapText="0"/>
    </xf>
    <xf borderId="4" fillId="4" fontId="15" numFmtId="167" xfId="0" applyAlignment="1" applyBorder="1" applyFont="1" applyNumberFormat="1">
      <alignment horizontal="center" shrinkToFit="0" vertical="center" wrapText="0"/>
    </xf>
    <xf borderId="4" fillId="4" fontId="15" numFmtId="167" xfId="0" applyAlignment="1" applyBorder="1" applyFont="1" applyNumberFormat="1">
      <alignment horizontal="center" shrinkToFit="0" vertical="center" wrapText="0"/>
    </xf>
    <xf borderId="5" fillId="5" fontId="16" numFmtId="1" xfId="0" applyAlignment="1" applyBorder="1" applyFill="1" applyFont="1" applyNumberFormat="1">
      <alignment readingOrder="0" shrinkToFit="0" vertical="center" wrapText="0"/>
    </xf>
    <xf borderId="5" fillId="5" fontId="16" numFmtId="165" xfId="0" applyAlignment="1" applyBorder="1" applyFont="1" applyNumberFormat="1">
      <alignment horizontal="center" readingOrder="0" shrinkToFit="0" vertical="center" wrapText="0"/>
    </xf>
    <xf borderId="5" fillId="5" fontId="16" numFmtId="166" xfId="0" applyAlignment="1" applyBorder="1" applyFont="1" applyNumberFormat="1">
      <alignment horizontal="center" readingOrder="0" shrinkToFit="0" vertical="center" wrapText="0"/>
    </xf>
    <xf borderId="5" fillId="5" fontId="16" numFmtId="0" xfId="0" applyAlignment="1" applyBorder="1" applyFont="1">
      <alignment horizontal="center" readingOrder="0" shrinkToFit="0" vertical="center" wrapText="0"/>
    </xf>
    <xf borderId="3" fillId="2" fontId="14" numFmtId="1" xfId="0" applyAlignment="1" applyBorder="1" applyFont="1" applyNumberFormat="1">
      <alignment readingOrder="0" shrinkToFit="0" vertical="center" wrapText="0"/>
    </xf>
    <xf borderId="3" fillId="2" fontId="14" numFmtId="165" xfId="0" applyAlignment="1" applyBorder="1" applyFont="1" applyNumberFormat="1">
      <alignment horizontal="center" readingOrder="0" shrinkToFit="0" vertical="center" wrapText="0"/>
    </xf>
    <xf borderId="3" fillId="2" fontId="14" numFmtId="166" xfId="0" applyAlignment="1" applyBorder="1" applyFont="1" applyNumberFormat="1">
      <alignment horizontal="center" shrinkToFit="0" vertical="center" wrapText="0"/>
    </xf>
    <xf borderId="3" fillId="2" fontId="14" numFmtId="167" xfId="0" applyAlignment="1" applyBorder="1" applyFont="1" applyNumberFormat="1">
      <alignment horizontal="center" shrinkToFit="0" vertical="center" wrapText="0"/>
    </xf>
    <xf borderId="6" fillId="0" fontId="17" numFmtId="1" xfId="0" applyAlignment="1" applyBorder="1" applyFont="1" applyNumberFormat="1">
      <alignment readingOrder="0" shrinkToFit="0" vertical="center" wrapText="0"/>
    </xf>
    <xf borderId="6" fillId="0" fontId="17" numFmtId="165" xfId="0" applyAlignment="1" applyBorder="1" applyFont="1" applyNumberFormat="1">
      <alignment horizontal="center" readingOrder="0" shrinkToFit="0" vertical="center" wrapText="0"/>
    </xf>
    <xf borderId="6" fillId="0" fontId="17" numFmtId="166" xfId="0" applyAlignment="1" applyBorder="1" applyFont="1" applyNumberFormat="1">
      <alignment horizontal="center" shrinkToFit="0" vertical="center" wrapText="0"/>
    </xf>
    <xf borderId="6" fillId="0" fontId="17" numFmtId="167" xfId="0" applyAlignment="1" applyBorder="1" applyFont="1" applyNumberFormat="1">
      <alignment horizontal="center" shrinkToFit="0" vertical="center" wrapText="0"/>
    </xf>
    <xf borderId="6" fillId="0" fontId="17" numFmtId="167" xfId="0" applyAlignment="1" applyBorder="1" applyFont="1" applyNumberForma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165" xfId="0" applyAlignment="1" applyFont="1" applyNumberFormat="1">
      <alignment shrinkToFit="0" vertical="center" wrapText="0"/>
    </xf>
    <xf borderId="0" fillId="0" fontId="8" numFmtId="166" xfId="0" applyAlignment="1" applyFont="1" applyNumberFormat="1">
      <alignment shrinkToFit="0" vertical="center" wrapText="0"/>
    </xf>
    <xf borderId="0" fillId="0" fontId="8" numFmtId="167" xfId="0" applyAlignment="1" applyFont="1" applyNumberFormat="1">
      <alignment shrinkToFit="0" vertical="center" wrapText="0"/>
    </xf>
    <xf borderId="0" fillId="0" fontId="8" numFmtId="167" xfId="0" applyAlignment="1" applyFont="1" applyNumberFormat="1">
      <alignment shrinkToFit="0" vertical="center" wrapText="0"/>
    </xf>
    <xf borderId="0" fillId="6" fontId="17" numFmtId="1" xfId="0" applyAlignment="1" applyFill="1" applyFont="1" applyNumberFormat="1">
      <alignment readingOrder="0" shrinkToFit="0" vertical="center" wrapText="0"/>
    </xf>
    <xf borderId="0" fillId="6" fontId="18" numFmtId="165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os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06" displayName="Tabella_1" name="Tabella_1" id="1">
  <tableColumns count="7">
    <tableColumn name="Year (1 or 2) ▼" id="1"/>
    <tableColumn name="Cost Element / Activity" id="2"/>
    <tableColumn name="Cost (€)" id="3"/>
    <tableColumn name="In-Kind (€)" id="4"/>
    <tableColumn name="% of Year Cost" id="5"/>
    <tableColumn name="% of Total Budget" id="6"/>
    <tableColumn name="Quotation" id="7"/>
  </tableColumns>
  <tableStyleInfo name="Co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5"/>
    <col customWidth="1" min="2" max="2" width="30.63"/>
    <col customWidth="1" min="3" max="3" width="12.38"/>
    <col customWidth="1" min="4" max="4" width="14.5"/>
    <col customWidth="1" min="5" max="5" width="21.63"/>
    <col customWidth="1" min="6" max="6" width="20.88"/>
    <col customWidth="1" min="7" max="7" width="16.88"/>
    <col customWidth="1" min="8" max="26" width="12.63"/>
  </cols>
  <sheetData>
    <row r="1" ht="22.5" customHeight="1">
      <c r="A1" s="16" t="s">
        <v>31</v>
      </c>
      <c r="B1" s="16" t="s">
        <v>48</v>
      </c>
      <c r="C1" s="16" t="s">
        <v>51</v>
      </c>
      <c r="D1" s="16" t="s">
        <v>56</v>
      </c>
      <c r="E1" s="16" t="s">
        <v>59</v>
      </c>
      <c r="F1" s="16" t="s">
        <v>64</v>
      </c>
      <c r="G1" s="27" t="s">
        <v>12</v>
      </c>
      <c r="H1" s="30"/>
      <c r="I1" s="30"/>
      <c r="J1" s="30"/>
      <c r="K1" s="30"/>
      <c r="L1" s="30"/>
      <c r="M1" s="30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2.5" customHeight="1">
      <c r="A2" s="37">
        <v>1.0</v>
      </c>
      <c r="B2" s="39" t="s">
        <v>77</v>
      </c>
      <c r="C2" s="40">
        <v>30000.0</v>
      </c>
      <c r="D2" s="41">
        <f t="shared" ref="D2:D5" si="1">IF(COUNTA(A2:C2)=0,"",0)</f>
        <v>0</v>
      </c>
      <c r="E2" s="42">
        <f t="shared" ref="E2:E15" si="2">IF(OR(A2="",C2=""),"",IF(OR(A2=1,A2=2),IF(SUMIF($A$2:$A$15,A2,$C$2:$C$15)=0,"",C2/SUMIF($A$2:$A$15,A2,$C$2:$C$15)),""))</f>
        <v>0.3529411765</v>
      </c>
      <c r="F2" s="44">
        <f t="shared" ref="F2:F15" si="3">IF(OR(A2="",C2=""),"",IF(OR(A2=1,A2=2),IF(SUM($C$2:$C$15)=0,"",C2/SUM($C$2:$C$15)),""))</f>
        <v>0.2040816327</v>
      </c>
      <c r="G2" s="45" t="s">
        <v>95</v>
      </c>
      <c r="H2" s="30"/>
      <c r="I2" s="30"/>
      <c r="J2" s="30"/>
      <c r="K2" s="30"/>
      <c r="L2" s="30"/>
      <c r="M2" s="30"/>
    </row>
    <row r="3" ht="22.5" customHeight="1">
      <c r="A3" s="37">
        <v>1.0</v>
      </c>
      <c r="B3" s="39" t="s">
        <v>26</v>
      </c>
      <c r="C3" s="40">
        <v>22000.0</v>
      </c>
      <c r="D3" s="41">
        <f t="shared" si="1"/>
        <v>0</v>
      </c>
      <c r="E3" s="42">
        <f t="shared" si="2"/>
        <v>0.2588235294</v>
      </c>
      <c r="F3" s="44">
        <f t="shared" si="3"/>
        <v>0.1496598639</v>
      </c>
      <c r="G3" s="45" t="s">
        <v>96</v>
      </c>
      <c r="H3" s="30"/>
      <c r="I3" s="30"/>
      <c r="J3" s="46"/>
      <c r="K3" s="46"/>
      <c r="L3" s="47"/>
      <c r="M3" s="47"/>
    </row>
    <row r="4" ht="22.5" customHeight="1">
      <c r="A4" s="37">
        <v>1.0</v>
      </c>
      <c r="B4" s="39" t="s">
        <v>97</v>
      </c>
      <c r="C4" s="40">
        <v>20000.0</v>
      </c>
      <c r="D4" s="41">
        <f t="shared" si="1"/>
        <v>0</v>
      </c>
      <c r="E4" s="42">
        <f t="shared" si="2"/>
        <v>0.2352941176</v>
      </c>
      <c r="F4" s="44">
        <f t="shared" si="3"/>
        <v>0.1360544218</v>
      </c>
      <c r="G4" s="45" t="s">
        <v>95</v>
      </c>
      <c r="H4" s="30"/>
      <c r="I4" s="30"/>
      <c r="J4" s="46"/>
      <c r="K4" s="46"/>
      <c r="L4" s="47"/>
      <c r="M4" s="47"/>
    </row>
    <row r="5" ht="22.5" customHeight="1">
      <c r="A5" s="37">
        <v>1.0</v>
      </c>
      <c r="B5" s="39" t="s">
        <v>98</v>
      </c>
      <c r="C5" s="40">
        <v>2000.0</v>
      </c>
      <c r="D5" s="41">
        <f t="shared" si="1"/>
        <v>0</v>
      </c>
      <c r="E5" s="42">
        <f t="shared" si="2"/>
        <v>0.02352941176</v>
      </c>
      <c r="F5" s="44">
        <f t="shared" si="3"/>
        <v>0.01360544218</v>
      </c>
      <c r="G5" s="45" t="s">
        <v>99</v>
      </c>
      <c r="H5" s="30"/>
      <c r="I5" s="30"/>
      <c r="J5" s="46"/>
      <c r="K5" s="46"/>
      <c r="L5" s="47"/>
      <c r="M5" s="47"/>
    </row>
    <row r="6" ht="22.5" customHeight="1">
      <c r="A6" s="48">
        <v>1.0</v>
      </c>
      <c r="B6" s="39" t="s">
        <v>100</v>
      </c>
      <c r="C6" s="40">
        <v>0.0</v>
      </c>
      <c r="D6" s="40">
        <v>2000.0</v>
      </c>
      <c r="E6" s="42">
        <f t="shared" si="2"/>
        <v>0</v>
      </c>
      <c r="F6" s="44">
        <f t="shared" si="3"/>
        <v>0</v>
      </c>
      <c r="G6" s="45" t="s">
        <v>101</v>
      </c>
    </row>
    <row r="7" ht="22.5" customHeight="1">
      <c r="A7" s="48">
        <v>1.0</v>
      </c>
      <c r="B7" s="39" t="s">
        <v>102</v>
      </c>
      <c r="C7" s="40">
        <v>3000.0</v>
      </c>
      <c r="D7" s="40">
        <v>0.0</v>
      </c>
      <c r="E7" s="42">
        <f t="shared" si="2"/>
        <v>0.03529411765</v>
      </c>
      <c r="F7" s="44">
        <f t="shared" si="3"/>
        <v>0.02040816327</v>
      </c>
      <c r="G7" s="45" t="s">
        <v>101</v>
      </c>
      <c r="H7" s="30"/>
      <c r="I7" s="30"/>
      <c r="J7" s="30"/>
      <c r="K7" s="30"/>
      <c r="L7" s="30"/>
      <c r="M7" s="30"/>
    </row>
    <row r="8" ht="22.5" customHeight="1">
      <c r="A8" s="48">
        <v>1.0</v>
      </c>
      <c r="B8" s="49" t="s">
        <v>103</v>
      </c>
      <c r="C8" s="40">
        <v>8000.0</v>
      </c>
      <c r="D8" s="40">
        <v>3000.0</v>
      </c>
      <c r="E8" s="42">
        <f t="shared" si="2"/>
        <v>0.09411764706</v>
      </c>
      <c r="F8" s="44">
        <f t="shared" si="3"/>
        <v>0.05442176871</v>
      </c>
      <c r="G8" s="45" t="s">
        <v>95</v>
      </c>
      <c r="H8" s="50"/>
    </row>
    <row r="9" ht="22.5" customHeight="1">
      <c r="A9" s="51">
        <v>2.0</v>
      </c>
      <c r="B9" s="52" t="s">
        <v>78</v>
      </c>
      <c r="C9" s="53">
        <v>40000.0</v>
      </c>
      <c r="D9" s="41">
        <f t="shared" ref="D9:D15" si="4">IF(COUNTA(A9:C9)=0,"",0)</f>
        <v>0</v>
      </c>
      <c r="E9" s="42">
        <f t="shared" si="2"/>
        <v>0.6451612903</v>
      </c>
      <c r="F9" s="44">
        <f t="shared" si="3"/>
        <v>0.2721088435</v>
      </c>
      <c r="G9" s="45" t="s">
        <v>96</v>
      </c>
    </row>
    <row r="10" ht="22.5" customHeight="1">
      <c r="A10" s="54">
        <v>2.0</v>
      </c>
      <c r="B10" s="55" t="s">
        <v>104</v>
      </c>
      <c r="C10" s="56">
        <v>10000.0</v>
      </c>
      <c r="D10" s="57">
        <f t="shared" si="4"/>
        <v>0</v>
      </c>
      <c r="E10" s="58">
        <f t="shared" si="2"/>
        <v>0.1612903226</v>
      </c>
      <c r="F10" s="59">
        <f t="shared" si="3"/>
        <v>0.06802721088</v>
      </c>
      <c r="G10" s="45" t="s">
        <v>99</v>
      </c>
    </row>
    <row r="11" ht="22.5" customHeight="1">
      <c r="A11" s="48">
        <v>2.0</v>
      </c>
      <c r="B11" s="60" t="s">
        <v>105</v>
      </c>
      <c r="C11" s="40">
        <v>5000.0</v>
      </c>
      <c r="D11" s="41">
        <f t="shared" si="4"/>
        <v>0</v>
      </c>
      <c r="E11" s="61">
        <f t="shared" si="2"/>
        <v>0.08064516129</v>
      </c>
      <c r="F11" s="44">
        <f t="shared" si="3"/>
        <v>0.03401360544</v>
      </c>
      <c r="G11" s="45" t="s">
        <v>99</v>
      </c>
    </row>
    <row r="12" ht="22.5" customHeight="1">
      <c r="A12" s="37">
        <v>2.0</v>
      </c>
      <c r="B12" s="39" t="s">
        <v>106</v>
      </c>
      <c r="C12" s="40">
        <v>3000.0</v>
      </c>
      <c r="D12" s="41">
        <f t="shared" si="4"/>
        <v>0</v>
      </c>
      <c r="E12" s="61">
        <f t="shared" si="2"/>
        <v>0.04838709677</v>
      </c>
      <c r="F12" s="44">
        <f t="shared" si="3"/>
        <v>0.02040816327</v>
      </c>
      <c r="G12" s="45" t="s">
        <v>101</v>
      </c>
    </row>
    <row r="13" ht="22.5" customHeight="1">
      <c r="A13" s="48">
        <v>2.0</v>
      </c>
      <c r="B13" s="60" t="s">
        <v>107</v>
      </c>
      <c r="C13" s="40">
        <v>4000.0</v>
      </c>
      <c r="D13" s="41">
        <f t="shared" si="4"/>
        <v>0</v>
      </c>
      <c r="E13" s="61">
        <f t="shared" si="2"/>
        <v>0.06451612903</v>
      </c>
      <c r="F13" s="44">
        <f t="shared" si="3"/>
        <v>0.02721088435</v>
      </c>
      <c r="G13" s="45" t="s">
        <v>101</v>
      </c>
    </row>
    <row r="14" ht="22.5" customHeight="1">
      <c r="A14" s="62"/>
      <c r="B14" s="63"/>
      <c r="C14" s="64"/>
      <c r="D14" s="65" t="str">
        <f t="shared" si="4"/>
        <v/>
      </c>
      <c r="E14" s="66" t="str">
        <f t="shared" si="2"/>
        <v/>
      </c>
      <c r="F14" s="67" t="str">
        <f t="shared" si="3"/>
        <v/>
      </c>
      <c r="G14" s="68"/>
    </row>
    <row r="15" ht="22.5" customHeight="1">
      <c r="A15" s="69"/>
      <c r="B15" s="70"/>
      <c r="C15" s="71"/>
      <c r="D15" s="65" t="str">
        <f t="shared" si="4"/>
        <v/>
      </c>
      <c r="E15" s="66" t="str">
        <f t="shared" si="2"/>
        <v/>
      </c>
      <c r="F15" s="67" t="str">
        <f t="shared" si="3"/>
        <v/>
      </c>
      <c r="G15" s="68"/>
    </row>
    <row r="16" ht="22.5" customHeight="1">
      <c r="A16" s="72"/>
      <c r="B16" s="73" t="s">
        <v>108</v>
      </c>
      <c r="C16" s="74"/>
      <c r="D16" s="74"/>
      <c r="E16" s="75"/>
      <c r="F16" s="76"/>
      <c r="G16" s="68"/>
    </row>
    <row r="17" ht="22.5" customHeight="1">
      <c r="A17" s="77" t="s">
        <v>109</v>
      </c>
      <c r="B17" s="78" t="s">
        <v>110</v>
      </c>
      <c r="C17" s="79" t="s">
        <v>51</v>
      </c>
      <c r="D17" s="79" t="s">
        <v>56</v>
      </c>
      <c r="E17" s="80" t="s">
        <v>59</v>
      </c>
      <c r="F17" s="80" t="s">
        <v>64</v>
      </c>
      <c r="G17" s="68"/>
    </row>
    <row r="18" ht="22.5" customHeight="1">
      <c r="A18" s="81" t="s">
        <v>111</v>
      </c>
      <c r="B18" s="82" t="s">
        <v>112</v>
      </c>
      <c r="C18" s="83">
        <f>SUMIF($A$2:$A$15,1,$C$2:$C$15)</f>
        <v>85000</v>
      </c>
      <c r="D18" s="83">
        <f>SUMIF($A$2:$A$15,1,$D$2:$D$15)</f>
        <v>5000</v>
      </c>
      <c r="E18" s="66">
        <f t="shared" ref="E18:E19" si="5">IF(C18=0,"",1)</f>
        <v>1</v>
      </c>
      <c r="F18" s="84">
        <f t="shared" ref="F18:F19" si="6">IF($C$20=0,"",C18/$C$20)</f>
        <v>0.5782312925</v>
      </c>
      <c r="G18" s="68"/>
    </row>
    <row r="19" ht="22.5" customHeight="1">
      <c r="A19" s="81" t="s">
        <v>113</v>
      </c>
      <c r="B19" s="82" t="s">
        <v>112</v>
      </c>
      <c r="C19" s="83">
        <f>SUMIF($A$2:$A$15,2,$C$2:$C$15)</f>
        <v>62000</v>
      </c>
      <c r="D19" s="83">
        <f>SUMIF($A$2:$A$15,2,$D$2:$D$15)</f>
        <v>0</v>
      </c>
      <c r="E19" s="66">
        <f t="shared" si="5"/>
        <v>1</v>
      </c>
      <c r="F19" s="84">
        <f t="shared" si="6"/>
        <v>0.4217687075</v>
      </c>
      <c r="G19" s="68"/>
    </row>
    <row r="20" ht="22.5" customHeight="1">
      <c r="A20" s="85" t="s">
        <v>114</v>
      </c>
      <c r="B20" s="86" t="s">
        <v>115</v>
      </c>
      <c r="C20" s="87">
        <f t="shared" ref="C20:D20" si="7">SUM(C18:C19)</f>
        <v>147000</v>
      </c>
      <c r="D20" s="87">
        <f t="shared" si="7"/>
        <v>5000</v>
      </c>
      <c r="E20" s="88"/>
      <c r="F20" s="89">
        <f>IF(C20=0,"",1)</f>
        <v>1</v>
      </c>
      <c r="G20" s="68"/>
    </row>
    <row r="21" ht="22.5" customHeight="1">
      <c r="A21" s="90"/>
      <c r="B21" s="91"/>
      <c r="C21" s="92"/>
      <c r="D21" s="92"/>
      <c r="E21" s="93"/>
      <c r="F21" s="94"/>
      <c r="G21" s="68"/>
    </row>
    <row r="22" ht="22.5" customHeight="1">
      <c r="A22" s="95" t="s">
        <v>116</v>
      </c>
      <c r="B22" s="96" t="str">
        <f>IF(SUMPRODUCT(--($B$2:$B$15&lt;&gt;""),--($A$2:$A$15&lt;&gt;1),--($A$2:$A$15&lt;&gt;2))&gt;0,"ERROR: choose Year 1 or 2","OK: Year is 1 or 2")</f>
        <v>OK: Year is 1 or 2</v>
      </c>
      <c r="C22" s="92"/>
      <c r="D22" s="92"/>
      <c r="E22" s="93"/>
      <c r="F22" s="94"/>
      <c r="G22" s="68"/>
    </row>
    <row r="23" ht="22.5" customHeight="1">
      <c r="A23" s="90"/>
      <c r="B23" s="91"/>
      <c r="C23" s="92"/>
      <c r="D23" s="92"/>
      <c r="E23" s="93"/>
      <c r="F23" s="94"/>
      <c r="G23" s="68"/>
    </row>
    <row r="24" ht="22.5" customHeight="1">
      <c r="A24" s="90"/>
      <c r="B24" s="91"/>
      <c r="C24" s="92"/>
      <c r="D24" s="92"/>
      <c r="E24" s="93"/>
      <c r="F24" s="94"/>
      <c r="G24" s="68"/>
    </row>
    <row r="25" ht="22.5" customHeight="1">
      <c r="A25" s="90"/>
      <c r="B25" s="91"/>
      <c r="C25" s="92"/>
      <c r="D25" s="92"/>
      <c r="E25" s="93"/>
      <c r="F25" s="94"/>
      <c r="G25" s="68"/>
    </row>
    <row r="26" ht="22.5" customHeight="1">
      <c r="A26" s="90"/>
      <c r="B26" s="91"/>
      <c r="C26" s="92"/>
      <c r="D26" s="92"/>
      <c r="E26" s="93"/>
      <c r="F26" s="94"/>
      <c r="G26" s="68"/>
    </row>
    <row r="27" ht="22.5" customHeight="1">
      <c r="A27" s="90"/>
      <c r="B27" s="91"/>
      <c r="C27" s="92"/>
      <c r="D27" s="92"/>
      <c r="E27" s="93"/>
      <c r="F27" s="94"/>
      <c r="G27" s="68"/>
    </row>
    <row r="28" ht="22.5" customHeight="1">
      <c r="A28" s="90"/>
      <c r="B28" s="91"/>
      <c r="C28" s="92"/>
      <c r="D28" s="92"/>
      <c r="E28" s="93"/>
      <c r="F28" s="94"/>
      <c r="G28" s="68"/>
    </row>
    <row r="29" ht="22.5" customHeight="1">
      <c r="A29" s="90"/>
      <c r="B29" s="91"/>
      <c r="C29" s="92"/>
      <c r="D29" s="92"/>
      <c r="E29" s="93"/>
      <c r="F29" s="94"/>
      <c r="G29" s="68"/>
    </row>
    <row r="30" ht="22.5" customHeight="1">
      <c r="A30" s="90"/>
      <c r="B30" s="91"/>
      <c r="C30" s="92"/>
      <c r="D30" s="92"/>
      <c r="E30" s="93"/>
      <c r="F30" s="94"/>
      <c r="G30" s="68"/>
    </row>
    <row r="31" ht="22.5" customHeight="1">
      <c r="A31" s="90"/>
      <c r="B31" s="91"/>
      <c r="C31" s="92"/>
      <c r="D31" s="92"/>
      <c r="E31" s="93"/>
      <c r="F31" s="94"/>
      <c r="G31" s="68"/>
    </row>
    <row r="32" ht="22.5" customHeight="1">
      <c r="A32" s="90"/>
      <c r="B32" s="91"/>
      <c r="C32" s="92"/>
      <c r="D32" s="92"/>
      <c r="E32" s="93"/>
      <c r="F32" s="94"/>
      <c r="G32" s="68"/>
    </row>
    <row r="33" ht="22.5" customHeight="1">
      <c r="A33" s="90"/>
      <c r="B33" s="91"/>
      <c r="C33" s="92"/>
      <c r="D33" s="92"/>
      <c r="E33" s="93"/>
      <c r="F33" s="94"/>
      <c r="G33" s="68"/>
    </row>
    <row r="34" ht="22.5" customHeight="1">
      <c r="A34" s="90"/>
      <c r="B34" s="91"/>
      <c r="C34" s="92"/>
      <c r="D34" s="92"/>
      <c r="E34" s="93"/>
      <c r="F34" s="94"/>
      <c r="G34" s="68"/>
    </row>
    <row r="35" ht="22.5" customHeight="1">
      <c r="A35" s="90"/>
      <c r="B35" s="91"/>
      <c r="C35" s="92"/>
      <c r="D35" s="92"/>
      <c r="E35" s="93"/>
      <c r="F35" s="94"/>
      <c r="G35" s="68"/>
    </row>
    <row r="36" ht="22.5" customHeight="1">
      <c r="A36" s="90"/>
      <c r="B36" s="91"/>
      <c r="C36" s="92"/>
      <c r="D36" s="92"/>
      <c r="E36" s="93"/>
      <c r="F36" s="94"/>
      <c r="G36" s="68"/>
    </row>
    <row r="37" ht="22.5" customHeight="1">
      <c r="A37" s="90"/>
      <c r="B37" s="91"/>
      <c r="C37" s="92"/>
      <c r="D37" s="92"/>
      <c r="E37" s="93"/>
      <c r="F37" s="94"/>
      <c r="G37" s="68"/>
    </row>
    <row r="38" ht="22.5" customHeight="1">
      <c r="A38" s="90"/>
      <c r="B38" s="91"/>
      <c r="C38" s="92"/>
      <c r="D38" s="92"/>
      <c r="E38" s="93"/>
      <c r="F38" s="94"/>
      <c r="G38" s="68"/>
    </row>
    <row r="39" ht="22.5" customHeight="1">
      <c r="A39" s="90"/>
      <c r="B39" s="91"/>
      <c r="C39" s="92"/>
      <c r="D39" s="92"/>
      <c r="E39" s="93"/>
      <c r="F39" s="94"/>
      <c r="G39" s="68"/>
    </row>
    <row r="40" ht="22.5" customHeight="1">
      <c r="A40" s="90"/>
      <c r="B40" s="91"/>
      <c r="C40" s="92"/>
      <c r="D40" s="92"/>
      <c r="E40" s="93"/>
      <c r="F40" s="94"/>
      <c r="G40" s="68"/>
    </row>
    <row r="41" ht="22.5" customHeight="1">
      <c r="A41" s="90"/>
      <c r="B41" s="91"/>
      <c r="C41" s="92"/>
      <c r="D41" s="92"/>
      <c r="E41" s="93"/>
      <c r="F41" s="94"/>
      <c r="G41" s="68"/>
    </row>
    <row r="42" ht="22.5" customHeight="1">
      <c r="A42" s="90"/>
      <c r="B42" s="91"/>
      <c r="C42" s="92"/>
      <c r="D42" s="92"/>
      <c r="E42" s="93"/>
      <c r="F42" s="94"/>
      <c r="G42" s="68"/>
    </row>
    <row r="43" ht="22.5" customHeight="1">
      <c r="A43" s="90"/>
      <c r="B43" s="91"/>
      <c r="C43" s="92"/>
      <c r="D43" s="92"/>
      <c r="E43" s="93"/>
      <c r="F43" s="94"/>
      <c r="G43" s="68"/>
    </row>
    <row r="44" ht="22.5" customHeight="1">
      <c r="A44" s="90"/>
      <c r="B44" s="91"/>
      <c r="C44" s="92"/>
      <c r="D44" s="92"/>
      <c r="E44" s="93"/>
      <c r="F44" s="94"/>
      <c r="G44" s="68"/>
    </row>
    <row r="45" ht="22.5" customHeight="1">
      <c r="A45" s="90"/>
      <c r="B45" s="91"/>
      <c r="C45" s="92"/>
      <c r="D45" s="92"/>
      <c r="E45" s="93"/>
      <c r="F45" s="94"/>
      <c r="G45" s="68"/>
    </row>
    <row r="46" ht="22.5" customHeight="1">
      <c r="A46" s="90"/>
      <c r="B46" s="91"/>
      <c r="C46" s="92"/>
      <c r="D46" s="92"/>
      <c r="E46" s="93"/>
      <c r="F46" s="94"/>
      <c r="G46" s="68"/>
    </row>
    <row r="47" ht="22.5" customHeight="1">
      <c r="A47" s="90"/>
      <c r="B47" s="91"/>
      <c r="C47" s="92"/>
      <c r="D47" s="92"/>
      <c r="E47" s="93"/>
      <c r="F47" s="94"/>
      <c r="G47" s="68"/>
    </row>
    <row r="48" ht="22.5" customHeight="1">
      <c r="A48" s="90"/>
      <c r="B48" s="91"/>
      <c r="C48" s="92"/>
      <c r="D48" s="92"/>
      <c r="E48" s="93"/>
      <c r="F48" s="94"/>
      <c r="G48" s="68"/>
    </row>
    <row r="49" ht="22.5" customHeight="1">
      <c r="A49" s="90"/>
      <c r="B49" s="91"/>
      <c r="C49" s="92"/>
      <c r="D49" s="92"/>
      <c r="E49" s="93"/>
      <c r="F49" s="94"/>
      <c r="G49" s="68"/>
    </row>
    <row r="50" ht="22.5" customHeight="1">
      <c r="A50" s="90"/>
      <c r="B50" s="91"/>
      <c r="C50" s="92"/>
      <c r="D50" s="92"/>
      <c r="E50" s="93"/>
      <c r="F50" s="94"/>
      <c r="G50" s="68"/>
    </row>
    <row r="51" ht="22.5" customHeight="1">
      <c r="A51" s="90"/>
      <c r="B51" s="91"/>
      <c r="C51" s="92"/>
      <c r="D51" s="92"/>
      <c r="E51" s="93"/>
      <c r="F51" s="94"/>
      <c r="G51" s="68"/>
    </row>
    <row r="52" ht="22.5" customHeight="1">
      <c r="A52" s="90"/>
      <c r="B52" s="91"/>
      <c r="C52" s="92"/>
      <c r="D52" s="92"/>
      <c r="E52" s="93"/>
      <c r="F52" s="94"/>
      <c r="G52" s="68"/>
    </row>
    <row r="53" ht="22.5" customHeight="1">
      <c r="A53" s="90"/>
      <c r="B53" s="91"/>
      <c r="C53" s="92"/>
      <c r="D53" s="92"/>
      <c r="E53" s="93"/>
      <c r="F53" s="94"/>
      <c r="G53" s="68"/>
    </row>
    <row r="54" ht="22.5" customHeight="1">
      <c r="A54" s="90"/>
      <c r="B54" s="91"/>
      <c r="C54" s="92"/>
      <c r="D54" s="92"/>
      <c r="E54" s="93"/>
      <c r="F54" s="94"/>
      <c r="G54" s="68"/>
    </row>
    <row r="55" ht="22.5" customHeight="1">
      <c r="A55" s="90"/>
      <c r="B55" s="91"/>
      <c r="C55" s="92"/>
      <c r="D55" s="92"/>
      <c r="E55" s="93"/>
      <c r="F55" s="94"/>
      <c r="G55" s="68"/>
    </row>
    <row r="56" ht="22.5" customHeight="1">
      <c r="A56" s="90"/>
      <c r="B56" s="91"/>
      <c r="C56" s="92"/>
      <c r="D56" s="92"/>
      <c r="E56" s="93"/>
      <c r="F56" s="94"/>
      <c r="G56" s="68"/>
    </row>
    <row r="57" ht="22.5" customHeight="1">
      <c r="A57" s="90"/>
      <c r="B57" s="91"/>
      <c r="C57" s="92"/>
      <c r="D57" s="92"/>
      <c r="E57" s="93"/>
      <c r="F57" s="94"/>
      <c r="G57" s="68"/>
    </row>
    <row r="58" ht="22.5" customHeight="1">
      <c r="A58" s="90"/>
      <c r="B58" s="91"/>
      <c r="C58" s="92"/>
      <c r="D58" s="92"/>
      <c r="E58" s="93"/>
      <c r="F58" s="94"/>
      <c r="G58" s="68"/>
    </row>
    <row r="59" ht="22.5" customHeight="1">
      <c r="A59" s="90"/>
      <c r="B59" s="91"/>
      <c r="C59" s="92"/>
      <c r="D59" s="92"/>
      <c r="E59" s="93"/>
      <c r="F59" s="94"/>
      <c r="G59" s="68"/>
    </row>
    <row r="60" ht="22.5" customHeight="1">
      <c r="A60" s="90"/>
      <c r="B60" s="91"/>
      <c r="C60" s="92"/>
      <c r="D60" s="92"/>
      <c r="E60" s="93"/>
      <c r="F60" s="94"/>
      <c r="G60" s="68"/>
    </row>
    <row r="61" ht="22.5" customHeight="1">
      <c r="A61" s="90"/>
      <c r="B61" s="91"/>
      <c r="C61" s="92"/>
      <c r="D61" s="92"/>
      <c r="E61" s="93"/>
      <c r="F61" s="94"/>
      <c r="G61" s="68"/>
    </row>
    <row r="62" ht="22.5" customHeight="1">
      <c r="A62" s="90"/>
      <c r="B62" s="91"/>
      <c r="C62" s="92"/>
      <c r="D62" s="92"/>
      <c r="E62" s="93"/>
      <c r="F62" s="94"/>
      <c r="G62" s="68"/>
    </row>
    <row r="63" ht="22.5" customHeight="1">
      <c r="A63" s="90"/>
      <c r="B63" s="91"/>
      <c r="C63" s="92"/>
      <c r="D63" s="92"/>
      <c r="E63" s="93"/>
      <c r="F63" s="94"/>
      <c r="G63" s="68"/>
    </row>
    <row r="64" ht="22.5" customHeight="1">
      <c r="A64" s="90"/>
      <c r="B64" s="91"/>
      <c r="C64" s="92"/>
      <c r="D64" s="92"/>
      <c r="E64" s="93"/>
      <c r="F64" s="94"/>
      <c r="G64" s="68"/>
    </row>
    <row r="65" ht="22.5" customHeight="1">
      <c r="A65" s="90"/>
      <c r="B65" s="91"/>
      <c r="C65" s="92"/>
      <c r="D65" s="92"/>
      <c r="E65" s="93"/>
      <c r="F65" s="94"/>
      <c r="G65" s="68"/>
    </row>
    <row r="66" ht="22.5" customHeight="1">
      <c r="A66" s="90"/>
      <c r="B66" s="91"/>
      <c r="C66" s="92"/>
      <c r="D66" s="92"/>
      <c r="E66" s="93"/>
      <c r="F66" s="94"/>
      <c r="G66" s="68"/>
    </row>
    <row r="67" ht="22.5" customHeight="1">
      <c r="A67" s="90"/>
      <c r="B67" s="91"/>
      <c r="C67" s="92"/>
      <c r="D67" s="92"/>
      <c r="E67" s="93"/>
      <c r="F67" s="94"/>
      <c r="G67" s="68"/>
    </row>
    <row r="68" ht="22.5" customHeight="1">
      <c r="A68" s="90"/>
      <c r="B68" s="91"/>
      <c r="C68" s="92"/>
      <c r="D68" s="92"/>
      <c r="E68" s="93"/>
      <c r="F68" s="94"/>
      <c r="G68" s="68"/>
    </row>
    <row r="69" ht="22.5" customHeight="1">
      <c r="A69" s="90"/>
      <c r="B69" s="91"/>
      <c r="C69" s="92"/>
      <c r="D69" s="92"/>
      <c r="E69" s="93"/>
      <c r="F69" s="94"/>
      <c r="G69" s="68"/>
    </row>
    <row r="70" ht="22.5" customHeight="1">
      <c r="A70" s="90"/>
      <c r="B70" s="91"/>
      <c r="C70" s="92"/>
      <c r="D70" s="92"/>
      <c r="E70" s="93"/>
      <c r="F70" s="94"/>
      <c r="G70" s="68"/>
    </row>
    <row r="71" ht="22.5" customHeight="1">
      <c r="A71" s="90"/>
      <c r="B71" s="91"/>
      <c r="C71" s="92"/>
      <c r="D71" s="92"/>
      <c r="E71" s="93"/>
      <c r="F71" s="94"/>
      <c r="G71" s="68"/>
    </row>
    <row r="72" ht="22.5" customHeight="1">
      <c r="A72" s="90"/>
      <c r="B72" s="91"/>
      <c r="C72" s="92"/>
      <c r="D72" s="92"/>
      <c r="E72" s="93"/>
      <c r="F72" s="94"/>
      <c r="G72" s="68"/>
    </row>
    <row r="73" ht="22.5" customHeight="1">
      <c r="A73" s="90"/>
      <c r="B73" s="91"/>
      <c r="C73" s="92"/>
      <c r="D73" s="92"/>
      <c r="E73" s="93"/>
      <c r="F73" s="94"/>
      <c r="G73" s="68"/>
    </row>
    <row r="74" ht="22.5" customHeight="1">
      <c r="A74" s="90"/>
      <c r="B74" s="91"/>
      <c r="C74" s="92"/>
      <c r="D74" s="92"/>
      <c r="E74" s="93"/>
      <c r="F74" s="94"/>
      <c r="G74" s="68"/>
    </row>
    <row r="75" ht="22.5" customHeight="1">
      <c r="A75" s="90"/>
      <c r="B75" s="91"/>
      <c r="C75" s="92"/>
      <c r="D75" s="92"/>
      <c r="E75" s="93"/>
      <c r="F75" s="94"/>
      <c r="G75" s="68"/>
    </row>
    <row r="76" ht="22.5" customHeight="1">
      <c r="A76" s="90"/>
      <c r="B76" s="91"/>
      <c r="C76" s="92"/>
      <c r="D76" s="92"/>
      <c r="E76" s="93"/>
      <c r="F76" s="94"/>
      <c r="G76" s="68"/>
    </row>
    <row r="77" ht="22.5" customHeight="1">
      <c r="A77" s="90"/>
      <c r="B77" s="91"/>
      <c r="C77" s="92"/>
      <c r="D77" s="92"/>
      <c r="E77" s="93"/>
      <c r="F77" s="94"/>
      <c r="G77" s="68"/>
    </row>
    <row r="78" ht="22.5" customHeight="1">
      <c r="A78" s="90"/>
      <c r="B78" s="91"/>
      <c r="C78" s="92"/>
      <c r="D78" s="92"/>
      <c r="E78" s="93"/>
      <c r="F78" s="94"/>
      <c r="G78" s="68"/>
    </row>
    <row r="79" ht="22.5" customHeight="1">
      <c r="A79" s="90"/>
      <c r="B79" s="91"/>
      <c r="C79" s="92"/>
      <c r="D79" s="92"/>
      <c r="E79" s="93"/>
      <c r="F79" s="94"/>
      <c r="G79" s="68"/>
    </row>
    <row r="80" ht="22.5" customHeight="1">
      <c r="A80" s="90"/>
      <c r="B80" s="91"/>
      <c r="C80" s="92"/>
      <c r="D80" s="92"/>
      <c r="E80" s="93"/>
      <c r="F80" s="94"/>
      <c r="G80" s="68"/>
    </row>
    <row r="81" ht="22.5" customHeight="1">
      <c r="A81" s="90"/>
      <c r="B81" s="91"/>
      <c r="C81" s="92"/>
      <c r="D81" s="92"/>
      <c r="E81" s="93"/>
      <c r="F81" s="94"/>
      <c r="G81" s="68"/>
    </row>
    <row r="82" ht="22.5" customHeight="1">
      <c r="A82" s="90"/>
      <c r="B82" s="91"/>
      <c r="C82" s="92"/>
      <c r="D82" s="92"/>
      <c r="E82" s="93"/>
      <c r="F82" s="94"/>
      <c r="G82" s="68"/>
    </row>
    <row r="83" ht="22.5" customHeight="1">
      <c r="A83" s="90"/>
      <c r="B83" s="91"/>
      <c r="C83" s="92"/>
      <c r="D83" s="92"/>
      <c r="E83" s="93"/>
      <c r="F83" s="94"/>
      <c r="G83" s="68"/>
    </row>
    <row r="84" ht="22.5" customHeight="1">
      <c r="A84" s="90"/>
      <c r="B84" s="91"/>
      <c r="C84" s="92"/>
      <c r="D84" s="92"/>
      <c r="E84" s="93"/>
      <c r="F84" s="94"/>
      <c r="G84" s="68"/>
    </row>
    <row r="85" ht="22.5" customHeight="1">
      <c r="A85" s="90"/>
      <c r="B85" s="91"/>
      <c r="C85" s="92"/>
      <c r="D85" s="92"/>
      <c r="E85" s="93"/>
      <c r="F85" s="94"/>
      <c r="G85" s="68"/>
    </row>
    <row r="86" ht="22.5" customHeight="1">
      <c r="A86" s="90"/>
      <c r="B86" s="91"/>
      <c r="C86" s="92"/>
      <c r="D86" s="92"/>
      <c r="E86" s="93"/>
      <c r="F86" s="94"/>
      <c r="G86" s="68"/>
    </row>
    <row r="87" ht="22.5" customHeight="1">
      <c r="A87" s="90"/>
      <c r="B87" s="91"/>
      <c r="C87" s="92"/>
      <c r="D87" s="92"/>
      <c r="E87" s="93"/>
      <c r="F87" s="94"/>
      <c r="G87" s="68"/>
    </row>
    <row r="88" ht="22.5" customHeight="1">
      <c r="A88" s="90"/>
      <c r="B88" s="91"/>
      <c r="C88" s="92"/>
      <c r="D88" s="92"/>
      <c r="E88" s="93"/>
      <c r="F88" s="94"/>
      <c r="G88" s="68"/>
    </row>
    <row r="89" ht="22.5" customHeight="1">
      <c r="A89" s="90"/>
      <c r="B89" s="91"/>
      <c r="C89" s="92"/>
      <c r="D89" s="92"/>
      <c r="E89" s="93"/>
      <c r="F89" s="94"/>
      <c r="G89" s="68"/>
    </row>
    <row r="90" ht="22.5" customHeight="1">
      <c r="A90" s="90"/>
      <c r="B90" s="91"/>
      <c r="C90" s="92"/>
      <c r="D90" s="92"/>
      <c r="E90" s="93"/>
      <c r="F90" s="94"/>
      <c r="G90" s="68"/>
    </row>
    <row r="91" ht="22.5" customHeight="1">
      <c r="A91" s="90"/>
      <c r="B91" s="91"/>
      <c r="C91" s="92"/>
      <c r="D91" s="92"/>
      <c r="E91" s="93"/>
      <c r="F91" s="94"/>
      <c r="G91" s="68"/>
    </row>
    <row r="92" ht="22.5" customHeight="1">
      <c r="A92" s="90"/>
      <c r="B92" s="91"/>
      <c r="C92" s="92"/>
      <c r="D92" s="92"/>
      <c r="E92" s="93"/>
      <c r="F92" s="94"/>
      <c r="G92" s="68"/>
    </row>
    <row r="93" ht="22.5" customHeight="1">
      <c r="A93" s="90"/>
      <c r="B93" s="91"/>
      <c r="C93" s="92"/>
      <c r="D93" s="92"/>
      <c r="E93" s="93"/>
      <c r="F93" s="94"/>
      <c r="G93" s="68"/>
    </row>
    <row r="94" ht="22.5" customHeight="1">
      <c r="A94" s="90"/>
      <c r="B94" s="91"/>
      <c r="C94" s="92"/>
      <c r="D94" s="92"/>
      <c r="E94" s="93"/>
      <c r="F94" s="94"/>
      <c r="G94" s="68"/>
    </row>
    <row r="95" ht="22.5" customHeight="1">
      <c r="A95" s="90"/>
      <c r="B95" s="91"/>
      <c r="C95" s="92"/>
      <c r="D95" s="92"/>
      <c r="E95" s="93"/>
      <c r="F95" s="94"/>
      <c r="G95" s="68"/>
    </row>
    <row r="96" ht="22.5" customHeight="1">
      <c r="A96" s="90"/>
      <c r="B96" s="91"/>
      <c r="C96" s="92"/>
      <c r="D96" s="92"/>
      <c r="E96" s="93"/>
      <c r="F96" s="94"/>
      <c r="G96" s="68"/>
    </row>
    <row r="97" ht="22.5" customHeight="1">
      <c r="A97" s="90"/>
      <c r="B97" s="91"/>
      <c r="C97" s="92"/>
      <c r="D97" s="92"/>
      <c r="E97" s="93"/>
      <c r="F97" s="94"/>
      <c r="G97" s="68"/>
    </row>
    <row r="98" ht="22.5" customHeight="1">
      <c r="A98" s="90"/>
      <c r="B98" s="91"/>
      <c r="C98" s="92"/>
      <c r="D98" s="92"/>
      <c r="E98" s="93"/>
      <c r="F98" s="94"/>
      <c r="G98" s="68"/>
    </row>
    <row r="99" ht="22.5" customHeight="1">
      <c r="A99" s="90"/>
      <c r="B99" s="91"/>
      <c r="C99" s="92"/>
      <c r="D99" s="92"/>
      <c r="E99" s="93"/>
      <c r="F99" s="94"/>
      <c r="G99" s="68"/>
    </row>
    <row r="100" ht="22.5" customHeight="1">
      <c r="A100" s="90"/>
      <c r="B100" s="91"/>
      <c r="C100" s="92"/>
      <c r="D100" s="92"/>
      <c r="E100" s="93"/>
      <c r="F100" s="94"/>
      <c r="G100" s="68"/>
    </row>
    <row r="101" ht="22.5" customHeight="1">
      <c r="A101" s="90"/>
      <c r="B101" s="91"/>
      <c r="C101" s="92"/>
      <c r="D101" s="92"/>
      <c r="E101" s="93"/>
      <c r="F101" s="94"/>
      <c r="G101" s="68"/>
    </row>
    <row r="102" ht="22.5" customHeight="1">
      <c r="A102" s="90"/>
      <c r="B102" s="91"/>
      <c r="C102" s="92"/>
      <c r="D102" s="92"/>
      <c r="E102" s="93"/>
      <c r="F102" s="94"/>
      <c r="G102" s="68"/>
    </row>
    <row r="103" ht="22.5" customHeight="1">
      <c r="A103" s="90"/>
      <c r="B103" s="91"/>
      <c r="C103" s="92"/>
      <c r="D103" s="92"/>
      <c r="E103" s="93"/>
      <c r="F103" s="94"/>
      <c r="G103" s="68"/>
    </row>
    <row r="104" ht="22.5" customHeight="1">
      <c r="A104" s="90"/>
      <c r="B104" s="91"/>
      <c r="C104" s="92"/>
      <c r="D104" s="92"/>
      <c r="E104" s="93"/>
      <c r="F104" s="94"/>
      <c r="G104" s="68"/>
    </row>
    <row r="105" ht="22.5" customHeight="1">
      <c r="A105" s="90"/>
      <c r="B105" s="91"/>
      <c r="C105" s="92"/>
      <c r="D105" s="92"/>
      <c r="E105" s="93"/>
      <c r="F105" s="94"/>
      <c r="G105" s="68"/>
    </row>
    <row r="106" ht="22.5" customHeight="1">
      <c r="A106" s="90"/>
      <c r="B106" s="91"/>
      <c r="C106" s="92"/>
      <c r="D106" s="92"/>
      <c r="E106" s="93"/>
      <c r="F106" s="94"/>
      <c r="G106" s="68"/>
    </row>
  </sheetData>
  <dataValidations>
    <dataValidation type="list" allowBlank="1" sqref="G2:G106">
      <formula1>"SI,NO,NR,WIP"</formula1>
    </dataValidation>
    <dataValidation type="custom" allowBlank="1" showDropDown="1" sqref="E2:E106">
      <formula1>AND(ISNUMBER(E2),(NOT(OR(NOT(ISERROR(DATEVALUE(E2))), AND(ISNUMBER(E2), LEFT(CELL("format", E2))="D")))))</formula1>
    </dataValidation>
    <dataValidation type="list" allowBlank="1" sqref="A2:A106">
      <formula1>"1,2,Period,Year 1,Year 2,Two Years,Year validation"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35.88"/>
    <col customWidth="1" min="3" max="3" width="61.0"/>
    <col customWidth="1" min="4" max="5" width="8.38"/>
    <col customWidth="1" min="6" max="6" width="7.38"/>
    <col customWidth="1" min="7" max="7" width="29.63"/>
  </cols>
  <sheetData>
    <row r="1">
      <c r="A1" s="2" t="s">
        <v>2</v>
      </c>
      <c r="B1" s="2" t="s">
        <v>5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12</v>
      </c>
    </row>
    <row r="2">
      <c r="A2" s="6" t="s">
        <v>11</v>
      </c>
      <c r="B2" s="6" t="s">
        <v>15</v>
      </c>
      <c r="C2" s="6" t="s">
        <v>16</v>
      </c>
      <c r="D2" s="8">
        <v>30000.0</v>
      </c>
      <c r="E2" s="8">
        <v>0.0</v>
      </c>
      <c r="F2" s="9">
        <f t="shared" ref="F2:F16" si="1">D2+E2</f>
        <v>30000</v>
      </c>
      <c r="G2" s="6" t="s">
        <v>25</v>
      </c>
    </row>
    <row r="3">
      <c r="A3" s="6" t="s">
        <v>11</v>
      </c>
      <c r="B3" s="11" t="s">
        <v>26</v>
      </c>
      <c r="C3" s="6" t="s">
        <v>29</v>
      </c>
      <c r="D3" s="8">
        <v>20000.0</v>
      </c>
      <c r="E3" s="8">
        <v>0.0</v>
      </c>
      <c r="F3" s="9">
        <f t="shared" si="1"/>
        <v>20000</v>
      </c>
      <c r="G3" s="6" t="s">
        <v>25</v>
      </c>
    </row>
    <row r="4">
      <c r="A4" s="6" t="s">
        <v>11</v>
      </c>
      <c r="B4" s="12" t="s">
        <v>38</v>
      </c>
      <c r="C4" s="14" t="s">
        <v>42</v>
      </c>
      <c r="D4" s="15">
        <v>15000.0</v>
      </c>
      <c r="E4" s="15">
        <v>15000.0</v>
      </c>
      <c r="F4" s="15">
        <f t="shared" si="1"/>
        <v>30000</v>
      </c>
      <c r="G4" s="14" t="s">
        <v>25</v>
      </c>
    </row>
    <row r="5">
      <c r="A5" s="6" t="s">
        <v>21</v>
      </c>
      <c r="B5" s="17" t="s">
        <v>47</v>
      </c>
      <c r="C5" s="19" t="s">
        <v>49</v>
      </c>
      <c r="D5" s="20">
        <v>0.0</v>
      </c>
      <c r="E5" s="20">
        <v>2000.0</v>
      </c>
      <c r="F5" s="20">
        <f t="shared" si="1"/>
        <v>2000</v>
      </c>
      <c r="G5" s="21" t="s">
        <v>53</v>
      </c>
    </row>
    <row r="6">
      <c r="A6" s="6" t="s">
        <v>11</v>
      </c>
      <c r="B6" s="11" t="s">
        <v>54</v>
      </c>
      <c r="C6" s="22" t="s">
        <v>58</v>
      </c>
      <c r="D6" s="23">
        <v>0.0</v>
      </c>
      <c r="E6" s="23">
        <v>2000.0</v>
      </c>
      <c r="F6" s="23">
        <f t="shared" si="1"/>
        <v>2000</v>
      </c>
      <c r="G6" s="22" t="s">
        <v>53</v>
      </c>
    </row>
    <row r="7">
      <c r="A7" s="13" t="s">
        <v>32</v>
      </c>
      <c r="B7" s="11" t="s">
        <v>66</v>
      </c>
      <c r="C7" s="26" t="s">
        <v>68</v>
      </c>
      <c r="D7" s="28">
        <v>0.0</v>
      </c>
      <c r="E7" s="28">
        <v>3000.0</v>
      </c>
      <c r="F7" s="28">
        <f t="shared" si="1"/>
        <v>3000</v>
      </c>
      <c r="G7" s="26" t="s">
        <v>25</v>
      </c>
    </row>
    <row r="8">
      <c r="A8" s="6" t="s">
        <v>11</v>
      </c>
      <c r="B8" s="32" t="s">
        <v>71</v>
      </c>
      <c r="C8" s="33" t="s">
        <v>73</v>
      </c>
      <c r="D8" s="34">
        <v>0.0</v>
      </c>
      <c r="E8" s="34">
        <v>5000.0</v>
      </c>
      <c r="F8" s="34">
        <f t="shared" si="1"/>
        <v>5000</v>
      </c>
      <c r="G8" s="33" t="s">
        <v>25</v>
      </c>
    </row>
    <row r="9">
      <c r="A9" s="6" t="s">
        <v>11</v>
      </c>
      <c r="B9" s="35" t="s">
        <v>75</v>
      </c>
      <c r="C9" s="26" t="s">
        <v>76</v>
      </c>
      <c r="D9" s="28">
        <v>0.0</v>
      </c>
      <c r="E9" s="28">
        <v>3000.0</v>
      </c>
      <c r="F9" s="28">
        <f t="shared" si="1"/>
        <v>3000</v>
      </c>
      <c r="G9" s="26" t="s">
        <v>25</v>
      </c>
    </row>
    <row r="10">
      <c r="A10" s="6" t="s">
        <v>11</v>
      </c>
      <c r="B10" s="38" t="s">
        <v>78</v>
      </c>
      <c r="C10" s="22" t="s">
        <v>79</v>
      </c>
      <c r="D10" s="23">
        <v>0.0</v>
      </c>
      <c r="E10" s="23">
        <v>7000.0</v>
      </c>
      <c r="F10" s="23">
        <f t="shared" si="1"/>
        <v>7000</v>
      </c>
      <c r="G10" s="22" t="s">
        <v>25</v>
      </c>
    </row>
    <row r="11">
      <c r="A11" s="13" t="s">
        <v>11</v>
      </c>
      <c r="B11" s="11" t="s">
        <v>80</v>
      </c>
      <c r="C11" s="26" t="s">
        <v>81</v>
      </c>
      <c r="D11" s="28">
        <v>0.0</v>
      </c>
      <c r="E11" s="28">
        <v>10000.0</v>
      </c>
      <c r="F11" s="28">
        <f t="shared" si="1"/>
        <v>10000</v>
      </c>
      <c r="G11" s="26" t="s">
        <v>25</v>
      </c>
    </row>
    <row r="12">
      <c r="A12" s="13" t="s">
        <v>11</v>
      </c>
      <c r="B12" s="11" t="s">
        <v>82</v>
      </c>
      <c r="C12" s="22" t="s">
        <v>83</v>
      </c>
      <c r="D12" s="23">
        <v>0.0</v>
      </c>
      <c r="E12" s="23">
        <v>5000.0</v>
      </c>
      <c r="F12" s="23">
        <f t="shared" si="1"/>
        <v>5000</v>
      </c>
      <c r="G12" s="22" t="s">
        <v>25</v>
      </c>
    </row>
    <row r="13">
      <c r="A13" s="13" t="s">
        <v>84</v>
      </c>
      <c r="B13" s="11" t="s">
        <v>85</v>
      </c>
      <c r="C13" s="26" t="s">
        <v>86</v>
      </c>
      <c r="D13" s="28">
        <v>0.0</v>
      </c>
      <c r="E13" s="28">
        <v>4000.0</v>
      </c>
      <c r="F13" s="28">
        <f t="shared" si="1"/>
        <v>4000</v>
      </c>
      <c r="G13" s="26" t="s">
        <v>25</v>
      </c>
    </row>
    <row r="14">
      <c r="A14" s="13" t="s">
        <v>60</v>
      </c>
      <c r="B14" s="11" t="s">
        <v>87</v>
      </c>
      <c r="C14" s="22" t="s">
        <v>88</v>
      </c>
      <c r="D14" s="23">
        <v>0.0</v>
      </c>
      <c r="E14" s="23">
        <v>2000.0</v>
      </c>
      <c r="F14" s="23">
        <f t="shared" si="1"/>
        <v>2000</v>
      </c>
      <c r="G14" s="22" t="s">
        <v>89</v>
      </c>
    </row>
    <row r="15">
      <c r="A15" s="13" t="s">
        <v>60</v>
      </c>
      <c r="B15" s="11" t="s">
        <v>90</v>
      </c>
      <c r="C15" s="26" t="s">
        <v>91</v>
      </c>
      <c r="D15" s="28">
        <v>0.0</v>
      </c>
      <c r="E15" s="28">
        <v>1500.0</v>
      </c>
      <c r="F15" s="28">
        <f t="shared" si="1"/>
        <v>1500</v>
      </c>
      <c r="G15" s="26" t="s">
        <v>89</v>
      </c>
    </row>
    <row r="16">
      <c r="A16" s="13" t="s">
        <v>60</v>
      </c>
      <c r="B16" s="11" t="s">
        <v>92</v>
      </c>
      <c r="C16" s="22" t="s">
        <v>93</v>
      </c>
      <c r="D16" s="23">
        <v>0.0</v>
      </c>
      <c r="E16" s="23">
        <v>3000.0</v>
      </c>
      <c r="F16" s="23">
        <f t="shared" si="1"/>
        <v>3000</v>
      </c>
      <c r="G16" s="22" t="s">
        <v>89</v>
      </c>
    </row>
    <row r="17">
      <c r="A17" s="10" t="s">
        <v>94</v>
      </c>
      <c r="D17" s="28">
        <f t="shared" ref="D17:F17" si="2">SUM(D2:D16)</f>
        <v>65000</v>
      </c>
      <c r="E17" s="28">
        <f t="shared" si="2"/>
        <v>62500</v>
      </c>
      <c r="F17" s="28">
        <f t="shared" si="2"/>
        <v>127500</v>
      </c>
      <c r="G17" s="43"/>
    </row>
    <row r="18">
      <c r="A18" s="25"/>
      <c r="B18" s="25"/>
      <c r="C18" s="25"/>
      <c r="D18" s="25"/>
      <c r="E18" s="25"/>
      <c r="F18" s="25"/>
      <c r="G18" s="25"/>
    </row>
    <row r="19">
      <c r="B19" s="25"/>
    </row>
    <row r="20">
      <c r="B20" s="25"/>
    </row>
    <row r="21">
      <c r="B21" s="25"/>
    </row>
    <row r="22">
      <c r="B22" s="25"/>
    </row>
    <row r="23">
      <c r="B23" s="25"/>
    </row>
    <row r="24">
      <c r="B24" s="25"/>
    </row>
    <row r="25">
      <c r="B25" s="25"/>
    </row>
    <row r="26">
      <c r="B26" s="25"/>
    </row>
    <row r="27">
      <c r="B27" s="25"/>
    </row>
    <row r="28">
      <c r="B28" s="25"/>
    </row>
    <row r="29">
      <c r="B29" s="25"/>
    </row>
    <row r="30">
      <c r="B30" s="25"/>
    </row>
    <row r="31">
      <c r="B31" s="25"/>
    </row>
    <row r="32">
      <c r="B32" s="25"/>
    </row>
    <row r="33">
      <c r="B33" s="25"/>
    </row>
    <row r="34">
      <c r="B34" s="25"/>
    </row>
    <row r="35">
      <c r="B35" s="25"/>
    </row>
    <row r="36">
      <c r="B36" s="25"/>
    </row>
    <row r="37">
      <c r="B37" s="25"/>
    </row>
    <row r="38">
      <c r="B38" s="25"/>
    </row>
    <row r="39">
      <c r="B39" s="25"/>
    </row>
    <row r="40">
      <c r="B40" s="25"/>
    </row>
    <row r="41">
      <c r="B41" s="25"/>
    </row>
    <row r="42">
      <c r="B42" s="25"/>
    </row>
    <row r="43">
      <c r="B43" s="25"/>
    </row>
    <row r="44">
      <c r="B44" s="25"/>
    </row>
    <row r="45">
      <c r="B45" s="25"/>
    </row>
    <row r="46">
      <c r="B46" s="25"/>
    </row>
    <row r="47">
      <c r="B47" s="25"/>
    </row>
    <row r="48">
      <c r="B48" s="25"/>
    </row>
    <row r="49">
      <c r="B49" s="25"/>
    </row>
    <row r="50">
      <c r="B50" s="25"/>
    </row>
    <row r="51">
      <c r="B51" s="25"/>
    </row>
    <row r="52">
      <c r="B52" s="25"/>
    </row>
    <row r="53">
      <c r="B53" s="25"/>
    </row>
    <row r="54">
      <c r="B54" s="25"/>
    </row>
    <row r="55">
      <c r="B55" s="25"/>
    </row>
    <row r="56">
      <c r="B56" s="25"/>
    </row>
    <row r="57">
      <c r="B57" s="25"/>
    </row>
    <row r="58">
      <c r="B58" s="25"/>
    </row>
    <row r="59">
      <c r="B59" s="25"/>
    </row>
    <row r="60">
      <c r="B60" s="25"/>
    </row>
    <row r="61">
      <c r="B61" s="25"/>
    </row>
    <row r="62">
      <c r="B62" s="25"/>
    </row>
    <row r="63">
      <c r="B63" s="25"/>
    </row>
    <row r="64">
      <c r="B64" s="25"/>
    </row>
    <row r="65">
      <c r="B65" s="25"/>
    </row>
    <row r="66">
      <c r="B66" s="25"/>
    </row>
    <row r="67">
      <c r="B67" s="25"/>
    </row>
    <row r="68">
      <c r="B68" s="25"/>
    </row>
    <row r="69">
      <c r="B69" s="25"/>
    </row>
    <row r="70">
      <c r="B70" s="25"/>
    </row>
    <row r="71">
      <c r="B71" s="25"/>
    </row>
    <row r="72">
      <c r="B72" s="25"/>
    </row>
    <row r="73">
      <c r="B73" s="25"/>
    </row>
    <row r="74">
      <c r="B74" s="25"/>
    </row>
    <row r="75">
      <c r="B75" s="25"/>
    </row>
    <row r="76">
      <c r="B76" s="25"/>
    </row>
    <row r="77">
      <c r="B77" s="25"/>
    </row>
    <row r="78">
      <c r="B78" s="25"/>
    </row>
    <row r="79">
      <c r="B79" s="25"/>
    </row>
    <row r="80">
      <c r="B80" s="25"/>
    </row>
    <row r="81">
      <c r="B81" s="25"/>
    </row>
    <row r="82">
      <c r="B82" s="25"/>
    </row>
    <row r="83">
      <c r="B83" s="25"/>
    </row>
    <row r="84">
      <c r="B84" s="25"/>
    </row>
    <row r="85">
      <c r="B85" s="25"/>
    </row>
    <row r="86">
      <c r="B86" s="25"/>
    </row>
    <row r="87">
      <c r="B87" s="25"/>
    </row>
    <row r="88">
      <c r="B88" s="25"/>
    </row>
    <row r="89">
      <c r="B89" s="25"/>
    </row>
    <row r="90">
      <c r="B90" s="25"/>
    </row>
    <row r="91">
      <c r="B91" s="25"/>
    </row>
    <row r="92">
      <c r="B92" s="25"/>
    </row>
    <row r="93">
      <c r="B93" s="25"/>
    </row>
    <row r="94">
      <c r="B94" s="25"/>
    </row>
    <row r="95">
      <c r="B95" s="25"/>
    </row>
    <row r="96">
      <c r="B96" s="25"/>
    </row>
    <row r="97">
      <c r="B97" s="25"/>
    </row>
    <row r="98">
      <c r="B98" s="25"/>
    </row>
    <row r="99">
      <c r="B99" s="25"/>
    </row>
    <row r="100">
      <c r="B100" s="25"/>
    </row>
    <row r="101">
      <c r="B101" s="25"/>
    </row>
    <row r="102">
      <c r="B102" s="25"/>
    </row>
    <row r="103">
      <c r="B103" s="25"/>
    </row>
    <row r="104">
      <c r="B104" s="25"/>
    </row>
    <row r="105">
      <c r="B105" s="25"/>
    </row>
    <row r="106">
      <c r="B106" s="25"/>
    </row>
    <row r="107">
      <c r="B107" s="25"/>
    </row>
    <row r="108">
      <c r="B108" s="25"/>
    </row>
    <row r="109">
      <c r="B109" s="25"/>
    </row>
    <row r="110">
      <c r="B110" s="25"/>
    </row>
    <row r="111">
      <c r="B111" s="25"/>
    </row>
    <row r="112">
      <c r="B112" s="25"/>
    </row>
    <row r="113">
      <c r="B113" s="25"/>
    </row>
    <row r="114">
      <c r="B114" s="25"/>
    </row>
    <row r="115">
      <c r="B115" s="25"/>
    </row>
    <row r="116">
      <c r="B116" s="25"/>
    </row>
    <row r="117">
      <c r="B117" s="25"/>
    </row>
    <row r="118">
      <c r="B118" s="25"/>
    </row>
    <row r="119">
      <c r="B119" s="25"/>
    </row>
    <row r="120">
      <c r="B120" s="25"/>
    </row>
    <row r="121">
      <c r="B121" s="25"/>
    </row>
    <row r="122">
      <c r="B122" s="25"/>
    </row>
    <row r="123">
      <c r="B123" s="25"/>
    </row>
    <row r="124">
      <c r="B124" s="25"/>
    </row>
    <row r="125">
      <c r="B125" s="25"/>
    </row>
    <row r="126">
      <c r="B126" s="25"/>
    </row>
    <row r="127">
      <c r="B127" s="25"/>
    </row>
    <row r="128">
      <c r="B128" s="25"/>
    </row>
    <row r="129">
      <c r="B129" s="25"/>
    </row>
    <row r="130">
      <c r="B130" s="25"/>
    </row>
    <row r="131">
      <c r="B131" s="25"/>
    </row>
    <row r="132">
      <c r="B132" s="25"/>
    </row>
    <row r="133">
      <c r="B133" s="25"/>
    </row>
    <row r="134">
      <c r="B134" s="25"/>
    </row>
    <row r="135">
      <c r="B135" s="25"/>
    </row>
    <row r="136">
      <c r="B136" s="25"/>
    </row>
    <row r="137">
      <c r="B137" s="25"/>
    </row>
    <row r="138">
      <c r="B138" s="25"/>
    </row>
    <row r="139">
      <c r="B139" s="25"/>
    </row>
    <row r="140">
      <c r="B140" s="25"/>
    </row>
    <row r="141">
      <c r="B141" s="25"/>
    </row>
    <row r="142">
      <c r="B142" s="25"/>
    </row>
    <row r="143">
      <c r="B143" s="25"/>
    </row>
    <row r="144">
      <c r="B144" s="25"/>
    </row>
    <row r="145">
      <c r="B145" s="25"/>
    </row>
    <row r="146">
      <c r="B146" s="25"/>
    </row>
    <row r="147">
      <c r="B147" s="25"/>
    </row>
    <row r="148">
      <c r="B148" s="25"/>
    </row>
    <row r="149">
      <c r="B149" s="25"/>
    </row>
    <row r="150">
      <c r="B150" s="25"/>
    </row>
    <row r="151">
      <c r="B151" s="25"/>
    </row>
    <row r="152">
      <c r="B152" s="25"/>
    </row>
    <row r="153">
      <c r="B153" s="25"/>
    </row>
    <row r="154">
      <c r="B154" s="25"/>
    </row>
    <row r="155">
      <c r="B155" s="25"/>
    </row>
    <row r="156">
      <c r="B156" s="25"/>
    </row>
    <row r="157">
      <c r="B157" s="25"/>
    </row>
    <row r="158">
      <c r="B158" s="25"/>
    </row>
    <row r="159">
      <c r="B159" s="25"/>
    </row>
    <row r="160">
      <c r="B160" s="25"/>
    </row>
    <row r="161">
      <c r="B161" s="25"/>
    </row>
    <row r="162">
      <c r="B162" s="25"/>
    </row>
    <row r="163">
      <c r="B163" s="25"/>
    </row>
    <row r="164">
      <c r="B164" s="25"/>
    </row>
    <row r="165">
      <c r="B165" s="25"/>
    </row>
    <row r="166">
      <c r="B166" s="25"/>
    </row>
    <row r="167">
      <c r="B167" s="25"/>
    </row>
    <row r="168">
      <c r="B168" s="25"/>
    </row>
    <row r="169">
      <c r="B169" s="25"/>
    </row>
    <row r="170">
      <c r="B170" s="25"/>
    </row>
    <row r="171">
      <c r="B171" s="25"/>
    </row>
    <row r="172">
      <c r="B172" s="25"/>
    </row>
    <row r="173">
      <c r="B173" s="25"/>
    </row>
    <row r="174">
      <c r="B174" s="25"/>
    </row>
    <row r="175">
      <c r="B175" s="25"/>
    </row>
    <row r="176">
      <c r="B176" s="25"/>
    </row>
    <row r="177">
      <c r="B177" s="25"/>
    </row>
    <row r="178">
      <c r="B178" s="25"/>
    </row>
    <row r="179">
      <c r="B179" s="25"/>
    </row>
    <row r="180">
      <c r="B180" s="25"/>
    </row>
    <row r="181">
      <c r="B181" s="25"/>
    </row>
    <row r="182">
      <c r="B182" s="25"/>
    </row>
    <row r="183">
      <c r="B183" s="25"/>
    </row>
    <row r="184">
      <c r="B184" s="25"/>
    </row>
    <row r="185">
      <c r="B185" s="25"/>
    </row>
    <row r="186">
      <c r="B186" s="25"/>
    </row>
    <row r="187">
      <c r="B187" s="25"/>
    </row>
    <row r="188">
      <c r="B188" s="25"/>
    </row>
    <row r="189">
      <c r="B189" s="25"/>
    </row>
    <row r="190">
      <c r="B190" s="25"/>
    </row>
    <row r="191">
      <c r="B191" s="25"/>
    </row>
    <row r="192">
      <c r="B192" s="25"/>
    </row>
    <row r="193">
      <c r="B193" s="25"/>
    </row>
    <row r="194">
      <c r="B194" s="25"/>
    </row>
    <row r="195">
      <c r="B195" s="25"/>
    </row>
    <row r="196">
      <c r="B196" s="25"/>
    </row>
    <row r="197">
      <c r="B197" s="25"/>
    </row>
    <row r="198">
      <c r="B198" s="25"/>
    </row>
    <row r="199">
      <c r="B199" s="25"/>
    </row>
    <row r="200">
      <c r="B200" s="25"/>
    </row>
    <row r="201">
      <c r="B201" s="25"/>
    </row>
    <row r="202">
      <c r="B202" s="25"/>
    </row>
    <row r="203">
      <c r="B203" s="25"/>
    </row>
    <row r="204">
      <c r="B204" s="25"/>
    </row>
    <row r="205">
      <c r="B205" s="25"/>
    </row>
    <row r="206">
      <c r="B206" s="25"/>
    </row>
    <row r="207">
      <c r="B207" s="25"/>
    </row>
    <row r="208">
      <c r="B208" s="25"/>
    </row>
    <row r="209">
      <c r="B209" s="25"/>
    </row>
    <row r="210">
      <c r="B210" s="25"/>
    </row>
    <row r="211">
      <c r="B211" s="25"/>
    </row>
    <row r="212">
      <c r="B212" s="25"/>
    </row>
    <row r="213">
      <c r="B213" s="25"/>
    </row>
    <row r="214">
      <c r="B214" s="25"/>
    </row>
    <row r="215">
      <c r="B215" s="25"/>
    </row>
    <row r="216">
      <c r="B216" s="25"/>
    </row>
    <row r="217">
      <c r="B217" s="25"/>
    </row>
    <row r="218">
      <c r="B218" s="25"/>
    </row>
    <row r="219">
      <c r="B219" s="25"/>
    </row>
    <row r="220">
      <c r="B220" s="25"/>
    </row>
    <row r="221">
      <c r="B221" s="25"/>
    </row>
    <row r="222">
      <c r="B222" s="25"/>
    </row>
    <row r="223">
      <c r="B223" s="25"/>
    </row>
    <row r="224">
      <c r="B224" s="25"/>
    </row>
    <row r="225">
      <c r="B225" s="25"/>
    </row>
    <row r="226">
      <c r="B226" s="25"/>
    </row>
    <row r="227">
      <c r="B227" s="25"/>
    </row>
    <row r="228">
      <c r="B228" s="25"/>
    </row>
    <row r="229">
      <c r="B229" s="25"/>
    </row>
    <row r="230">
      <c r="B230" s="25"/>
    </row>
    <row r="231">
      <c r="B231" s="25"/>
    </row>
    <row r="232">
      <c r="B232" s="25"/>
    </row>
    <row r="233">
      <c r="B233" s="25"/>
    </row>
    <row r="234">
      <c r="B234" s="25"/>
    </row>
    <row r="235">
      <c r="B235" s="25"/>
    </row>
    <row r="236">
      <c r="B236" s="25"/>
    </row>
    <row r="237">
      <c r="B237" s="25"/>
    </row>
    <row r="238">
      <c r="B238" s="25"/>
    </row>
    <row r="239">
      <c r="B239" s="25"/>
    </row>
    <row r="240">
      <c r="B240" s="25"/>
    </row>
    <row r="241">
      <c r="B241" s="25"/>
    </row>
    <row r="242">
      <c r="B242" s="25"/>
    </row>
    <row r="243">
      <c r="B243" s="25"/>
    </row>
    <row r="244">
      <c r="B244" s="25"/>
    </row>
    <row r="245">
      <c r="B245" s="25"/>
    </row>
    <row r="246">
      <c r="B246" s="25"/>
    </row>
    <row r="247">
      <c r="B247" s="25"/>
    </row>
    <row r="248">
      <c r="B248" s="25"/>
    </row>
    <row r="249">
      <c r="B249" s="25"/>
    </row>
    <row r="250">
      <c r="B250" s="25"/>
    </row>
    <row r="251">
      <c r="B251" s="25"/>
    </row>
    <row r="252">
      <c r="B252" s="25"/>
    </row>
    <row r="253">
      <c r="B253" s="25"/>
    </row>
    <row r="254">
      <c r="B254" s="25"/>
    </row>
    <row r="255">
      <c r="B255" s="25"/>
    </row>
    <row r="256">
      <c r="B256" s="25"/>
    </row>
    <row r="257">
      <c r="B257" s="25"/>
    </row>
    <row r="258">
      <c r="B258" s="25"/>
    </row>
    <row r="259">
      <c r="B259" s="25"/>
    </row>
    <row r="260">
      <c r="B260" s="25"/>
    </row>
    <row r="261">
      <c r="B261" s="25"/>
    </row>
    <row r="262">
      <c r="B262" s="25"/>
    </row>
    <row r="263">
      <c r="B263" s="25"/>
    </row>
    <row r="264">
      <c r="B264" s="25"/>
    </row>
    <row r="265">
      <c r="B265" s="25"/>
    </row>
    <row r="266">
      <c r="B266" s="25"/>
    </row>
    <row r="267">
      <c r="B267" s="25"/>
    </row>
    <row r="268">
      <c r="B268" s="25"/>
    </row>
    <row r="269">
      <c r="B269" s="25"/>
    </row>
    <row r="270">
      <c r="B270" s="25"/>
    </row>
    <row r="271">
      <c r="B271" s="25"/>
    </row>
    <row r="272">
      <c r="B272" s="25"/>
    </row>
    <row r="273">
      <c r="B273" s="25"/>
    </row>
    <row r="274">
      <c r="B274" s="25"/>
    </row>
    <row r="275">
      <c r="B275" s="25"/>
    </row>
    <row r="276">
      <c r="B276" s="25"/>
    </row>
    <row r="277">
      <c r="B277" s="25"/>
    </row>
    <row r="278">
      <c r="B278" s="25"/>
    </row>
    <row r="279">
      <c r="B279" s="25"/>
    </row>
    <row r="280">
      <c r="B280" s="25"/>
    </row>
    <row r="281">
      <c r="B281" s="25"/>
    </row>
    <row r="282">
      <c r="B282" s="25"/>
    </row>
    <row r="283">
      <c r="B283" s="25"/>
    </row>
    <row r="284">
      <c r="B284" s="25"/>
    </row>
    <row r="285">
      <c r="B285" s="25"/>
    </row>
    <row r="286">
      <c r="B286" s="25"/>
    </row>
    <row r="287">
      <c r="B287" s="25"/>
    </row>
    <row r="288">
      <c r="B288" s="25"/>
    </row>
    <row r="289">
      <c r="B289" s="25"/>
    </row>
    <row r="290">
      <c r="B290" s="25"/>
    </row>
    <row r="291">
      <c r="B291" s="25"/>
    </row>
    <row r="292">
      <c r="B292" s="25"/>
    </row>
    <row r="293">
      <c r="B293" s="25"/>
    </row>
    <row r="294">
      <c r="B294" s="25"/>
    </row>
    <row r="295">
      <c r="B295" s="25"/>
    </row>
    <row r="296">
      <c r="B296" s="25"/>
    </row>
    <row r="297">
      <c r="B297" s="25"/>
    </row>
    <row r="298">
      <c r="B298" s="25"/>
    </row>
    <row r="299">
      <c r="B299" s="25"/>
    </row>
    <row r="300">
      <c r="B300" s="25"/>
    </row>
    <row r="301">
      <c r="B301" s="25"/>
    </row>
    <row r="302">
      <c r="B302" s="25"/>
    </row>
    <row r="303">
      <c r="B303" s="25"/>
    </row>
    <row r="304">
      <c r="B304" s="25"/>
    </row>
    <row r="305">
      <c r="B305" s="25"/>
    </row>
    <row r="306">
      <c r="B306" s="25"/>
    </row>
    <row r="307">
      <c r="B307" s="25"/>
    </row>
    <row r="308">
      <c r="B308" s="25"/>
    </row>
    <row r="309">
      <c r="B309" s="25"/>
    </row>
    <row r="310">
      <c r="B310" s="25"/>
    </row>
    <row r="311">
      <c r="B311" s="25"/>
    </row>
    <row r="312">
      <c r="B312" s="25"/>
    </row>
    <row r="313">
      <c r="B313" s="25"/>
    </row>
    <row r="314">
      <c r="B314" s="25"/>
    </row>
    <row r="315">
      <c r="B315" s="25"/>
    </row>
    <row r="316">
      <c r="B316" s="25"/>
    </row>
    <row r="317">
      <c r="B317" s="25"/>
    </row>
    <row r="318">
      <c r="B318" s="25"/>
    </row>
    <row r="319">
      <c r="B319" s="25"/>
    </row>
    <row r="320">
      <c r="B320" s="25"/>
    </row>
    <row r="321">
      <c r="B321" s="25"/>
    </row>
    <row r="322">
      <c r="B322" s="25"/>
    </row>
    <row r="323">
      <c r="B323" s="25"/>
    </row>
    <row r="324">
      <c r="B324" s="25"/>
    </row>
    <row r="325">
      <c r="B325" s="25"/>
    </row>
    <row r="326">
      <c r="B326" s="25"/>
    </row>
    <row r="327">
      <c r="B327" s="25"/>
    </row>
    <row r="328">
      <c r="B328" s="25"/>
    </row>
    <row r="329">
      <c r="B329" s="25"/>
    </row>
    <row r="330">
      <c r="B330" s="25"/>
    </row>
    <row r="331">
      <c r="B331" s="25"/>
    </row>
    <row r="332">
      <c r="B332" s="25"/>
    </row>
    <row r="333">
      <c r="B333" s="25"/>
    </row>
    <row r="334">
      <c r="B334" s="25"/>
    </row>
    <row r="335">
      <c r="B335" s="25"/>
    </row>
    <row r="336">
      <c r="B336" s="25"/>
    </row>
    <row r="337">
      <c r="B337" s="25"/>
    </row>
    <row r="338">
      <c r="B338" s="25"/>
    </row>
    <row r="339">
      <c r="B339" s="25"/>
    </row>
    <row r="340">
      <c r="B340" s="25"/>
    </row>
    <row r="341">
      <c r="B341" s="25"/>
    </row>
    <row r="342">
      <c r="B342" s="25"/>
    </row>
    <row r="343">
      <c r="B343" s="25"/>
    </row>
    <row r="344">
      <c r="B344" s="25"/>
    </row>
    <row r="345">
      <c r="B345" s="25"/>
    </row>
    <row r="346">
      <c r="B346" s="25"/>
    </row>
    <row r="347">
      <c r="B347" s="25"/>
    </row>
    <row r="348">
      <c r="B348" s="25"/>
    </row>
    <row r="349">
      <c r="B349" s="25"/>
    </row>
    <row r="350">
      <c r="B350" s="25"/>
    </row>
    <row r="351">
      <c r="B351" s="25"/>
    </row>
    <row r="352">
      <c r="B352" s="25"/>
    </row>
    <row r="353">
      <c r="B353" s="25"/>
    </row>
    <row r="354">
      <c r="B354" s="25"/>
    </row>
    <row r="355">
      <c r="B355" s="25"/>
    </row>
    <row r="356">
      <c r="B356" s="25"/>
    </row>
    <row r="357">
      <c r="B357" s="25"/>
    </row>
    <row r="358">
      <c r="B358" s="25"/>
    </row>
    <row r="359">
      <c r="B359" s="25"/>
    </row>
    <row r="360">
      <c r="B360" s="25"/>
    </row>
    <row r="361">
      <c r="B361" s="25"/>
    </row>
    <row r="362">
      <c r="B362" s="25"/>
    </row>
    <row r="363">
      <c r="B363" s="25"/>
    </row>
    <row r="364">
      <c r="B364" s="25"/>
    </row>
    <row r="365">
      <c r="B365" s="25"/>
    </row>
    <row r="366">
      <c r="B366" s="25"/>
    </row>
    <row r="367">
      <c r="B367" s="25"/>
    </row>
    <row r="368">
      <c r="B368" s="25"/>
    </row>
    <row r="369">
      <c r="B369" s="25"/>
    </row>
    <row r="370">
      <c r="B370" s="25"/>
    </row>
    <row r="371">
      <c r="B371" s="25"/>
    </row>
    <row r="372">
      <c r="B372" s="25"/>
    </row>
    <row r="373">
      <c r="B373" s="25"/>
    </row>
    <row r="374">
      <c r="B374" s="25"/>
    </row>
    <row r="375">
      <c r="B375" s="25"/>
    </row>
    <row r="376">
      <c r="B376" s="25"/>
    </row>
    <row r="377">
      <c r="B377" s="25"/>
    </row>
    <row r="378">
      <c r="B378" s="25"/>
    </row>
    <row r="379">
      <c r="B379" s="25"/>
    </row>
    <row r="380">
      <c r="B380" s="25"/>
    </row>
    <row r="381">
      <c r="B381" s="25"/>
    </row>
    <row r="382">
      <c r="B382" s="25"/>
    </row>
    <row r="383">
      <c r="B383" s="25"/>
    </row>
    <row r="384">
      <c r="B384" s="25"/>
    </row>
    <row r="385">
      <c r="B385" s="25"/>
    </row>
    <row r="386">
      <c r="B386" s="25"/>
    </row>
    <row r="387">
      <c r="B387" s="25"/>
    </row>
    <row r="388">
      <c r="B388" s="25"/>
    </row>
    <row r="389">
      <c r="B389" s="25"/>
    </row>
    <row r="390">
      <c r="B390" s="25"/>
    </row>
    <row r="391">
      <c r="B391" s="25"/>
    </row>
    <row r="392">
      <c r="B392" s="25"/>
    </row>
    <row r="393">
      <c r="B393" s="25"/>
    </row>
    <row r="394">
      <c r="B394" s="25"/>
    </row>
    <row r="395">
      <c r="B395" s="25"/>
    </row>
    <row r="396">
      <c r="B396" s="25"/>
    </row>
    <row r="397">
      <c r="B397" s="25"/>
    </row>
    <row r="398">
      <c r="B398" s="25"/>
    </row>
    <row r="399">
      <c r="B399" s="25"/>
    </row>
    <row r="400">
      <c r="B400" s="25"/>
    </row>
    <row r="401">
      <c r="B401" s="25"/>
    </row>
    <row r="402">
      <c r="B402" s="25"/>
    </row>
    <row r="403">
      <c r="B403" s="25"/>
    </row>
    <row r="404">
      <c r="B404" s="25"/>
    </row>
    <row r="405">
      <c r="B405" s="25"/>
    </row>
    <row r="406">
      <c r="B406" s="25"/>
    </row>
    <row r="407">
      <c r="B407" s="25"/>
    </row>
    <row r="408">
      <c r="B408" s="25"/>
    </row>
    <row r="409">
      <c r="B409" s="25"/>
    </row>
    <row r="410">
      <c r="B410" s="25"/>
    </row>
    <row r="411">
      <c r="B411" s="25"/>
    </row>
    <row r="412">
      <c r="B412" s="25"/>
    </row>
    <row r="413">
      <c r="B413" s="25"/>
    </row>
    <row r="414">
      <c r="B414" s="25"/>
    </row>
    <row r="415">
      <c r="B415" s="25"/>
    </row>
    <row r="416">
      <c r="B416" s="25"/>
    </row>
    <row r="417">
      <c r="B417" s="25"/>
    </row>
    <row r="418">
      <c r="B418" s="25"/>
    </row>
    <row r="419">
      <c r="B419" s="25"/>
    </row>
    <row r="420">
      <c r="B420" s="25"/>
    </row>
    <row r="421">
      <c r="B421" s="25"/>
    </row>
    <row r="422">
      <c r="B422" s="25"/>
    </row>
    <row r="423">
      <c r="B423" s="25"/>
    </row>
    <row r="424">
      <c r="B424" s="25"/>
    </row>
    <row r="425">
      <c r="B425" s="25"/>
    </row>
    <row r="426">
      <c r="B426" s="25"/>
    </row>
    <row r="427">
      <c r="B427" s="25"/>
    </row>
    <row r="428">
      <c r="B428" s="25"/>
    </row>
    <row r="429">
      <c r="B429" s="25"/>
    </row>
    <row r="430">
      <c r="B430" s="25"/>
    </row>
    <row r="431">
      <c r="B431" s="25"/>
    </row>
    <row r="432">
      <c r="B432" s="25"/>
    </row>
    <row r="433">
      <c r="B433" s="25"/>
    </row>
    <row r="434">
      <c r="B434" s="25"/>
    </row>
    <row r="435">
      <c r="B435" s="25"/>
    </row>
    <row r="436">
      <c r="B436" s="25"/>
    </row>
    <row r="437">
      <c r="B437" s="25"/>
    </row>
    <row r="438">
      <c r="B438" s="25"/>
    </row>
    <row r="439">
      <c r="B439" s="25"/>
    </row>
    <row r="440">
      <c r="B440" s="25"/>
    </row>
    <row r="441">
      <c r="B441" s="25"/>
    </row>
    <row r="442">
      <c r="B442" s="25"/>
    </row>
    <row r="443">
      <c r="B443" s="25"/>
    </row>
    <row r="444">
      <c r="B444" s="25"/>
    </row>
    <row r="445">
      <c r="B445" s="25"/>
    </row>
    <row r="446">
      <c r="B446" s="25"/>
    </row>
    <row r="447">
      <c r="B447" s="25"/>
    </row>
    <row r="448">
      <c r="B448" s="25"/>
    </row>
    <row r="449">
      <c r="B449" s="25"/>
    </row>
    <row r="450">
      <c r="B450" s="25"/>
    </row>
    <row r="451">
      <c r="B451" s="25"/>
    </row>
    <row r="452">
      <c r="B452" s="25"/>
    </row>
    <row r="453">
      <c r="B453" s="25"/>
    </row>
    <row r="454">
      <c r="B454" s="25"/>
    </row>
    <row r="455">
      <c r="B455" s="25"/>
    </row>
    <row r="456">
      <c r="B456" s="25"/>
    </row>
    <row r="457">
      <c r="B457" s="25"/>
    </row>
    <row r="458">
      <c r="B458" s="25"/>
    </row>
    <row r="459">
      <c r="B459" s="25"/>
    </row>
    <row r="460">
      <c r="B460" s="25"/>
    </row>
    <row r="461">
      <c r="B461" s="25"/>
    </row>
    <row r="462">
      <c r="B462" s="25"/>
    </row>
    <row r="463">
      <c r="B463" s="25"/>
    </row>
    <row r="464">
      <c r="B464" s="25"/>
    </row>
    <row r="465">
      <c r="B465" s="25"/>
    </row>
    <row r="466">
      <c r="B466" s="25"/>
    </row>
    <row r="467">
      <c r="B467" s="25"/>
    </row>
    <row r="468">
      <c r="B468" s="25"/>
    </row>
    <row r="469">
      <c r="B469" s="25"/>
    </row>
    <row r="470">
      <c r="B470" s="25"/>
    </row>
    <row r="471">
      <c r="B471" s="25"/>
    </row>
    <row r="472">
      <c r="B472" s="25"/>
    </row>
    <row r="473">
      <c r="B473" s="25"/>
    </row>
    <row r="474">
      <c r="B474" s="25"/>
    </row>
    <row r="475">
      <c r="B475" s="25"/>
    </row>
    <row r="476">
      <c r="B476" s="25"/>
    </row>
    <row r="477">
      <c r="B477" s="25"/>
    </row>
    <row r="478">
      <c r="B478" s="25"/>
    </row>
    <row r="479">
      <c r="B479" s="25"/>
    </row>
    <row r="480">
      <c r="B480" s="25"/>
    </row>
    <row r="481">
      <c r="B481" s="25"/>
    </row>
    <row r="482">
      <c r="B482" s="25"/>
    </row>
    <row r="483">
      <c r="B483" s="25"/>
    </row>
    <row r="484">
      <c r="B484" s="25"/>
    </row>
    <row r="485">
      <c r="B485" s="25"/>
    </row>
    <row r="486">
      <c r="B486" s="25"/>
    </row>
    <row r="487">
      <c r="B487" s="25"/>
    </row>
    <row r="488">
      <c r="B488" s="25"/>
    </row>
    <row r="489">
      <c r="B489" s="25"/>
    </row>
    <row r="490">
      <c r="B490" s="25"/>
    </row>
    <row r="491">
      <c r="B491" s="25"/>
    </row>
    <row r="492">
      <c r="B492" s="25"/>
    </row>
    <row r="493">
      <c r="B493" s="25"/>
    </row>
    <row r="494">
      <c r="B494" s="25"/>
    </row>
    <row r="495">
      <c r="B495" s="25"/>
    </row>
    <row r="496">
      <c r="B496" s="25"/>
    </row>
    <row r="497">
      <c r="B497" s="25"/>
    </row>
    <row r="498">
      <c r="B498" s="25"/>
    </row>
    <row r="499">
      <c r="B499" s="25"/>
    </row>
    <row r="500">
      <c r="B500" s="25"/>
    </row>
    <row r="501">
      <c r="B501" s="25"/>
    </row>
    <row r="502">
      <c r="B502" s="25"/>
    </row>
    <row r="503">
      <c r="B503" s="25"/>
    </row>
    <row r="504">
      <c r="B504" s="25"/>
    </row>
    <row r="505">
      <c r="B505" s="25"/>
    </row>
    <row r="506">
      <c r="B506" s="25"/>
    </row>
    <row r="507">
      <c r="B507" s="25"/>
    </row>
    <row r="508">
      <c r="B508" s="25"/>
    </row>
    <row r="509">
      <c r="B509" s="25"/>
    </row>
    <row r="510">
      <c r="B510" s="25"/>
    </row>
    <row r="511">
      <c r="B511" s="25"/>
    </row>
    <row r="512">
      <c r="B512" s="25"/>
    </row>
    <row r="513">
      <c r="B513" s="25"/>
    </row>
    <row r="514">
      <c r="B514" s="25"/>
    </row>
    <row r="515">
      <c r="B515" s="25"/>
    </row>
    <row r="516">
      <c r="B516" s="25"/>
    </row>
    <row r="517">
      <c r="B517" s="25"/>
    </row>
    <row r="518">
      <c r="B518" s="25"/>
    </row>
    <row r="519">
      <c r="B519" s="25"/>
    </row>
    <row r="520">
      <c r="B520" s="25"/>
    </row>
    <row r="521">
      <c r="B521" s="25"/>
    </row>
    <row r="522">
      <c r="B522" s="25"/>
    </row>
    <row r="523">
      <c r="B523" s="25"/>
    </row>
    <row r="524">
      <c r="B524" s="25"/>
    </row>
    <row r="525">
      <c r="B525" s="25"/>
    </row>
    <row r="526">
      <c r="B526" s="25"/>
    </row>
    <row r="527">
      <c r="B527" s="25"/>
    </row>
    <row r="528">
      <c r="B528" s="25"/>
    </row>
    <row r="529">
      <c r="B529" s="25"/>
    </row>
    <row r="530">
      <c r="B530" s="25"/>
    </row>
    <row r="531">
      <c r="B531" s="25"/>
    </row>
    <row r="532">
      <c r="B532" s="25"/>
    </row>
    <row r="533">
      <c r="B533" s="25"/>
    </row>
    <row r="534">
      <c r="B534" s="25"/>
    </row>
    <row r="535">
      <c r="B535" s="25"/>
    </row>
    <row r="536">
      <c r="B536" s="25"/>
    </row>
    <row r="537">
      <c r="B537" s="25"/>
    </row>
    <row r="538">
      <c r="B538" s="25"/>
    </row>
    <row r="539">
      <c r="B539" s="25"/>
    </row>
    <row r="540">
      <c r="B540" s="25"/>
    </row>
    <row r="541">
      <c r="B541" s="25"/>
    </row>
    <row r="542">
      <c r="B542" s="25"/>
    </row>
    <row r="543">
      <c r="B543" s="25"/>
    </row>
    <row r="544">
      <c r="B544" s="25"/>
    </row>
    <row r="545">
      <c r="B545" s="25"/>
    </row>
    <row r="546">
      <c r="B546" s="25"/>
    </row>
    <row r="547">
      <c r="B547" s="25"/>
    </row>
    <row r="548">
      <c r="B548" s="25"/>
    </row>
    <row r="549">
      <c r="B549" s="25"/>
    </row>
    <row r="550">
      <c r="B550" s="25"/>
    </row>
    <row r="551">
      <c r="B551" s="25"/>
    </row>
    <row r="552">
      <c r="B552" s="25"/>
    </row>
    <row r="553">
      <c r="B553" s="25"/>
    </row>
    <row r="554">
      <c r="B554" s="25"/>
    </row>
    <row r="555">
      <c r="B555" s="25"/>
    </row>
    <row r="556">
      <c r="B556" s="25"/>
    </row>
    <row r="557">
      <c r="B557" s="25"/>
    </row>
    <row r="558">
      <c r="B558" s="25"/>
    </row>
    <row r="559">
      <c r="B559" s="25"/>
    </row>
    <row r="560">
      <c r="B560" s="25"/>
    </row>
    <row r="561">
      <c r="B561" s="25"/>
    </row>
    <row r="562">
      <c r="B562" s="25"/>
    </row>
    <row r="563">
      <c r="B563" s="25"/>
    </row>
    <row r="564">
      <c r="B564" s="25"/>
    </row>
    <row r="565">
      <c r="B565" s="25"/>
    </row>
    <row r="566">
      <c r="B566" s="25"/>
    </row>
    <row r="567">
      <c r="B567" s="25"/>
    </row>
    <row r="568">
      <c r="B568" s="25"/>
    </row>
    <row r="569">
      <c r="B569" s="25"/>
    </row>
    <row r="570">
      <c r="B570" s="25"/>
    </row>
    <row r="571">
      <c r="B571" s="25"/>
    </row>
    <row r="572">
      <c r="B572" s="25"/>
    </row>
    <row r="573">
      <c r="B573" s="25"/>
    </row>
    <row r="574">
      <c r="B574" s="25"/>
    </row>
    <row r="575">
      <c r="B575" s="25"/>
    </row>
    <row r="576">
      <c r="B576" s="25"/>
    </row>
    <row r="577">
      <c r="B577" s="25"/>
    </row>
    <row r="578">
      <c r="B578" s="25"/>
    </row>
    <row r="579">
      <c r="B579" s="25"/>
    </row>
    <row r="580">
      <c r="B580" s="25"/>
    </row>
    <row r="581">
      <c r="B581" s="25"/>
    </row>
    <row r="582">
      <c r="B582" s="25"/>
    </row>
    <row r="583">
      <c r="B583" s="25"/>
    </row>
    <row r="584">
      <c r="B584" s="25"/>
    </row>
    <row r="585">
      <c r="B585" s="25"/>
    </row>
    <row r="586">
      <c r="B586" s="25"/>
    </row>
    <row r="587">
      <c r="B587" s="25"/>
    </row>
    <row r="588">
      <c r="B588" s="25"/>
    </row>
    <row r="589">
      <c r="B589" s="25"/>
    </row>
    <row r="590">
      <c r="B590" s="25"/>
    </row>
    <row r="591">
      <c r="B591" s="25"/>
    </row>
    <row r="592">
      <c r="B592" s="25"/>
    </row>
    <row r="593">
      <c r="B593" s="25"/>
    </row>
    <row r="594">
      <c r="B594" s="25"/>
    </row>
    <row r="595">
      <c r="B595" s="25"/>
    </row>
    <row r="596">
      <c r="B596" s="25"/>
    </row>
    <row r="597">
      <c r="B597" s="25"/>
    </row>
    <row r="598">
      <c r="B598" s="25"/>
    </row>
    <row r="599">
      <c r="B599" s="25"/>
    </row>
    <row r="600">
      <c r="B600" s="25"/>
    </row>
    <row r="601">
      <c r="B601" s="25"/>
    </row>
    <row r="602">
      <c r="B602" s="25"/>
    </row>
    <row r="603">
      <c r="B603" s="25"/>
    </row>
    <row r="604">
      <c r="B604" s="25"/>
    </row>
    <row r="605">
      <c r="B605" s="25"/>
    </row>
    <row r="606">
      <c r="B606" s="25"/>
    </row>
    <row r="607">
      <c r="B607" s="25"/>
    </row>
    <row r="608">
      <c r="B608" s="25"/>
    </row>
    <row r="609">
      <c r="B609" s="25"/>
    </row>
    <row r="610">
      <c r="B610" s="25"/>
    </row>
    <row r="611">
      <c r="B611" s="25"/>
    </row>
    <row r="612">
      <c r="B612" s="25"/>
    </row>
    <row r="613">
      <c r="B613" s="25"/>
    </row>
    <row r="614">
      <c r="B614" s="25"/>
    </row>
    <row r="615">
      <c r="B615" s="25"/>
    </row>
    <row r="616">
      <c r="B616" s="25"/>
    </row>
    <row r="617">
      <c r="B617" s="25"/>
    </row>
    <row r="618">
      <c r="B618" s="25"/>
    </row>
    <row r="619">
      <c r="B619" s="25"/>
    </row>
    <row r="620">
      <c r="B620" s="25"/>
    </row>
    <row r="621">
      <c r="B621" s="25"/>
    </row>
    <row r="622">
      <c r="B622" s="25"/>
    </row>
    <row r="623">
      <c r="B623" s="25"/>
    </row>
    <row r="624">
      <c r="B624" s="25"/>
    </row>
    <row r="625">
      <c r="B625" s="25"/>
    </row>
    <row r="626">
      <c r="B626" s="25"/>
    </row>
    <row r="627">
      <c r="B627" s="25"/>
    </row>
    <row r="628">
      <c r="B628" s="25"/>
    </row>
    <row r="629">
      <c r="B629" s="25"/>
    </row>
    <row r="630">
      <c r="B630" s="25"/>
    </row>
    <row r="631">
      <c r="B631" s="25"/>
    </row>
    <row r="632">
      <c r="B632" s="25"/>
    </row>
    <row r="633">
      <c r="B633" s="25"/>
    </row>
    <row r="634">
      <c r="B634" s="25"/>
    </row>
    <row r="635">
      <c r="B635" s="25"/>
    </row>
    <row r="636">
      <c r="B636" s="25"/>
    </row>
    <row r="637">
      <c r="B637" s="25"/>
    </row>
    <row r="638">
      <c r="B638" s="25"/>
    </row>
    <row r="639">
      <c r="B639" s="25"/>
    </row>
    <row r="640">
      <c r="B640" s="25"/>
    </row>
    <row r="641">
      <c r="B641" s="25"/>
    </row>
    <row r="642">
      <c r="B642" s="25"/>
    </row>
    <row r="643">
      <c r="B643" s="25"/>
    </row>
    <row r="644">
      <c r="B644" s="25"/>
    </row>
    <row r="645">
      <c r="B645" s="25"/>
    </row>
    <row r="646">
      <c r="B646" s="25"/>
    </row>
    <row r="647">
      <c r="B647" s="25"/>
    </row>
    <row r="648">
      <c r="B648" s="25"/>
    </row>
    <row r="649">
      <c r="B649" s="25"/>
    </row>
    <row r="650">
      <c r="B650" s="25"/>
    </row>
    <row r="651">
      <c r="B651" s="25"/>
    </row>
    <row r="652">
      <c r="B652" s="25"/>
    </row>
    <row r="653">
      <c r="B653" s="25"/>
    </row>
    <row r="654">
      <c r="B654" s="25"/>
    </row>
    <row r="655">
      <c r="B655" s="25"/>
    </row>
    <row r="656">
      <c r="B656" s="25"/>
    </row>
    <row r="657">
      <c r="B657" s="25"/>
    </row>
    <row r="658">
      <c r="B658" s="25"/>
    </row>
    <row r="659">
      <c r="B659" s="25"/>
    </row>
    <row r="660">
      <c r="B660" s="25"/>
    </row>
    <row r="661">
      <c r="B661" s="25"/>
    </row>
    <row r="662">
      <c r="B662" s="25"/>
    </row>
    <row r="663">
      <c r="B663" s="25"/>
    </row>
    <row r="664">
      <c r="B664" s="25"/>
    </row>
    <row r="665">
      <c r="B665" s="25"/>
    </row>
    <row r="666">
      <c r="B666" s="25"/>
    </row>
    <row r="667">
      <c r="B667" s="25"/>
    </row>
    <row r="668">
      <c r="B668" s="25"/>
    </row>
    <row r="669">
      <c r="B669" s="25"/>
    </row>
    <row r="670">
      <c r="B670" s="25"/>
    </row>
    <row r="671">
      <c r="B671" s="25"/>
    </row>
    <row r="672">
      <c r="B672" s="25"/>
    </row>
    <row r="673">
      <c r="B673" s="25"/>
    </row>
    <row r="674">
      <c r="B674" s="25"/>
    </row>
    <row r="675">
      <c r="B675" s="25"/>
    </row>
    <row r="676">
      <c r="B676" s="25"/>
    </row>
    <row r="677">
      <c r="B677" s="25"/>
    </row>
    <row r="678">
      <c r="B678" s="25"/>
    </row>
    <row r="679">
      <c r="B679" s="25"/>
    </row>
    <row r="680">
      <c r="B680" s="25"/>
    </row>
    <row r="681">
      <c r="B681" s="25"/>
    </row>
    <row r="682">
      <c r="B682" s="25"/>
    </row>
    <row r="683">
      <c r="B683" s="25"/>
    </row>
    <row r="684">
      <c r="B684" s="25"/>
    </row>
    <row r="685">
      <c r="B685" s="25"/>
    </row>
    <row r="686">
      <c r="B686" s="25"/>
    </row>
    <row r="687">
      <c r="B687" s="25"/>
    </row>
    <row r="688">
      <c r="B688" s="25"/>
    </row>
    <row r="689">
      <c r="B689" s="25"/>
    </row>
    <row r="690">
      <c r="B690" s="25"/>
    </row>
    <row r="691">
      <c r="B691" s="25"/>
    </row>
    <row r="692">
      <c r="B692" s="25"/>
    </row>
    <row r="693">
      <c r="B693" s="25"/>
    </row>
    <row r="694">
      <c r="B694" s="25"/>
    </row>
    <row r="695">
      <c r="B695" s="25"/>
    </row>
    <row r="696">
      <c r="B696" s="25"/>
    </row>
    <row r="697">
      <c r="B697" s="25"/>
    </row>
    <row r="698">
      <c r="B698" s="25"/>
    </row>
    <row r="699">
      <c r="B699" s="25"/>
    </row>
    <row r="700">
      <c r="B700" s="25"/>
    </row>
    <row r="701">
      <c r="B701" s="25"/>
    </row>
    <row r="702">
      <c r="B702" s="25"/>
    </row>
    <row r="703">
      <c r="B703" s="25"/>
    </row>
    <row r="704">
      <c r="B704" s="25"/>
    </row>
    <row r="705">
      <c r="B705" s="25"/>
    </row>
    <row r="706">
      <c r="B706" s="25"/>
    </row>
    <row r="707">
      <c r="B707" s="25"/>
    </row>
    <row r="708">
      <c r="B708" s="25"/>
    </row>
    <row r="709">
      <c r="B709" s="25"/>
    </row>
    <row r="710">
      <c r="B710" s="25"/>
    </row>
    <row r="711">
      <c r="B711" s="25"/>
    </row>
    <row r="712">
      <c r="B712" s="25"/>
    </row>
    <row r="713">
      <c r="B713" s="25"/>
    </row>
    <row r="714">
      <c r="B714" s="25"/>
    </row>
    <row r="715">
      <c r="B715" s="25"/>
    </row>
    <row r="716">
      <c r="B716" s="25"/>
    </row>
    <row r="717">
      <c r="B717" s="25"/>
    </row>
    <row r="718">
      <c r="B718" s="25"/>
    </row>
    <row r="719">
      <c r="B719" s="25"/>
    </row>
    <row r="720">
      <c r="B720" s="25"/>
    </row>
    <row r="721">
      <c r="B721" s="25"/>
    </row>
    <row r="722">
      <c r="B722" s="25"/>
    </row>
    <row r="723">
      <c r="B723" s="25"/>
    </row>
    <row r="724">
      <c r="B724" s="25"/>
    </row>
    <row r="725">
      <c r="B725" s="25"/>
    </row>
    <row r="726">
      <c r="B726" s="25"/>
    </row>
    <row r="727">
      <c r="B727" s="25"/>
    </row>
    <row r="728">
      <c r="B728" s="25"/>
    </row>
    <row r="729">
      <c r="B729" s="25"/>
    </row>
    <row r="730">
      <c r="B730" s="25"/>
    </row>
    <row r="731">
      <c r="B731" s="25"/>
    </row>
    <row r="732">
      <c r="B732" s="25"/>
    </row>
    <row r="733">
      <c r="B733" s="25"/>
    </row>
    <row r="734">
      <c r="B734" s="25"/>
    </row>
    <row r="735">
      <c r="B735" s="25"/>
    </row>
    <row r="736">
      <c r="B736" s="25"/>
    </row>
    <row r="737">
      <c r="B737" s="25"/>
    </row>
    <row r="738">
      <c r="B738" s="25"/>
    </row>
    <row r="739">
      <c r="B739" s="25"/>
    </row>
    <row r="740">
      <c r="B740" s="25"/>
    </row>
    <row r="741">
      <c r="B741" s="25"/>
    </row>
    <row r="742">
      <c r="B742" s="25"/>
    </row>
    <row r="743">
      <c r="B743" s="25"/>
    </row>
    <row r="744">
      <c r="B744" s="25"/>
    </row>
    <row r="745">
      <c r="B745" s="25"/>
    </row>
    <row r="746">
      <c r="B746" s="25"/>
    </row>
    <row r="747">
      <c r="B747" s="25"/>
    </row>
    <row r="748">
      <c r="B748" s="25"/>
    </row>
    <row r="749">
      <c r="B749" s="25"/>
    </row>
    <row r="750">
      <c r="B750" s="25"/>
    </row>
    <row r="751">
      <c r="B751" s="25"/>
    </row>
    <row r="752">
      <c r="B752" s="25"/>
    </row>
    <row r="753">
      <c r="B753" s="25"/>
    </row>
    <row r="754">
      <c r="B754" s="25"/>
    </row>
    <row r="755">
      <c r="B755" s="25"/>
    </row>
    <row r="756">
      <c r="B756" s="25"/>
    </row>
    <row r="757">
      <c r="B757" s="25"/>
    </row>
    <row r="758">
      <c r="B758" s="25"/>
    </row>
    <row r="759">
      <c r="B759" s="25"/>
    </row>
    <row r="760">
      <c r="B760" s="25"/>
    </row>
    <row r="761">
      <c r="B761" s="25"/>
    </row>
    <row r="762">
      <c r="B762" s="25"/>
    </row>
    <row r="763">
      <c r="B763" s="25"/>
    </row>
    <row r="764">
      <c r="B764" s="25"/>
    </row>
    <row r="765">
      <c r="B765" s="25"/>
    </row>
    <row r="766">
      <c r="B766" s="25"/>
    </row>
    <row r="767">
      <c r="B767" s="25"/>
    </row>
    <row r="768">
      <c r="B768" s="25"/>
    </row>
    <row r="769">
      <c r="B769" s="25"/>
    </row>
    <row r="770">
      <c r="B770" s="25"/>
    </row>
    <row r="771">
      <c r="B771" s="25"/>
    </row>
    <row r="772">
      <c r="B772" s="25"/>
    </row>
    <row r="773">
      <c r="B773" s="25"/>
    </row>
    <row r="774">
      <c r="B774" s="25"/>
    </row>
    <row r="775">
      <c r="B775" s="25"/>
    </row>
    <row r="776">
      <c r="B776" s="25"/>
    </row>
    <row r="777">
      <c r="B777" s="25"/>
    </row>
    <row r="778">
      <c r="B778" s="25"/>
    </row>
    <row r="779">
      <c r="B779" s="25"/>
    </row>
    <row r="780">
      <c r="B780" s="25"/>
    </row>
    <row r="781">
      <c r="B781" s="25"/>
    </row>
    <row r="782">
      <c r="B782" s="25"/>
    </row>
    <row r="783">
      <c r="B783" s="25"/>
    </row>
    <row r="784">
      <c r="B784" s="25"/>
    </row>
    <row r="785">
      <c r="B785" s="25"/>
    </row>
    <row r="786">
      <c r="B786" s="25"/>
    </row>
    <row r="787">
      <c r="B787" s="25"/>
    </row>
    <row r="788">
      <c r="B788" s="25"/>
    </row>
    <row r="789">
      <c r="B789" s="25"/>
    </row>
    <row r="790">
      <c r="B790" s="25"/>
    </row>
    <row r="791">
      <c r="B791" s="25"/>
    </row>
    <row r="792">
      <c r="B792" s="25"/>
    </row>
    <row r="793">
      <c r="B793" s="25"/>
    </row>
    <row r="794">
      <c r="B794" s="25"/>
    </row>
    <row r="795">
      <c r="B795" s="25"/>
    </row>
    <row r="796">
      <c r="B796" s="25"/>
    </row>
    <row r="797">
      <c r="B797" s="25"/>
    </row>
    <row r="798">
      <c r="B798" s="25"/>
    </row>
    <row r="799">
      <c r="B799" s="25"/>
    </row>
    <row r="800">
      <c r="B800" s="25"/>
    </row>
    <row r="801">
      <c r="B801" s="25"/>
    </row>
    <row r="802">
      <c r="B802" s="25"/>
    </row>
    <row r="803">
      <c r="B803" s="25"/>
    </row>
    <row r="804">
      <c r="B804" s="25"/>
    </row>
    <row r="805">
      <c r="B805" s="25"/>
    </row>
    <row r="806">
      <c r="B806" s="25"/>
    </row>
    <row r="807">
      <c r="B807" s="25"/>
    </row>
    <row r="808">
      <c r="B808" s="25"/>
    </row>
    <row r="809">
      <c r="B809" s="25"/>
    </row>
    <row r="810">
      <c r="B810" s="25"/>
    </row>
    <row r="811">
      <c r="B811" s="25"/>
    </row>
    <row r="812">
      <c r="B812" s="25"/>
    </row>
    <row r="813">
      <c r="B813" s="25"/>
    </row>
    <row r="814">
      <c r="B814" s="25"/>
    </row>
    <row r="815">
      <c r="B815" s="25"/>
    </row>
    <row r="816">
      <c r="B816" s="25"/>
    </row>
    <row r="817">
      <c r="B817" s="25"/>
    </row>
    <row r="818">
      <c r="B818" s="25"/>
    </row>
    <row r="819">
      <c r="B819" s="25"/>
    </row>
    <row r="820">
      <c r="B820" s="25"/>
    </row>
    <row r="821">
      <c r="B821" s="25"/>
    </row>
    <row r="822">
      <c r="B822" s="25"/>
    </row>
    <row r="823">
      <c r="B823" s="25"/>
    </row>
    <row r="824">
      <c r="B824" s="25"/>
    </row>
    <row r="825">
      <c r="B825" s="25"/>
    </row>
    <row r="826">
      <c r="B826" s="25"/>
    </row>
    <row r="827">
      <c r="B827" s="25"/>
    </row>
    <row r="828">
      <c r="B828" s="25"/>
    </row>
    <row r="829">
      <c r="B829" s="25"/>
    </row>
    <row r="830">
      <c r="B830" s="25"/>
    </row>
    <row r="831">
      <c r="B831" s="25"/>
    </row>
    <row r="832">
      <c r="B832" s="25"/>
    </row>
    <row r="833">
      <c r="B833" s="25"/>
    </row>
    <row r="834">
      <c r="B834" s="25"/>
    </row>
    <row r="835">
      <c r="B835" s="25"/>
    </row>
    <row r="836">
      <c r="B836" s="25"/>
    </row>
    <row r="837">
      <c r="B837" s="25"/>
    </row>
    <row r="838">
      <c r="B838" s="25"/>
    </row>
    <row r="839">
      <c r="B839" s="25"/>
    </row>
    <row r="840">
      <c r="B840" s="25"/>
    </row>
    <row r="841">
      <c r="B841" s="25"/>
    </row>
    <row r="842">
      <c r="B842" s="25"/>
    </row>
    <row r="843">
      <c r="B843" s="25"/>
    </row>
    <row r="844">
      <c r="B844" s="25"/>
    </row>
    <row r="845">
      <c r="B845" s="25"/>
    </row>
    <row r="846">
      <c r="B846" s="25"/>
    </row>
    <row r="847">
      <c r="B847" s="25"/>
    </row>
    <row r="848">
      <c r="B848" s="25"/>
    </row>
    <row r="849">
      <c r="B849" s="25"/>
    </row>
    <row r="850">
      <c r="B850" s="25"/>
    </row>
    <row r="851">
      <c r="B851" s="25"/>
    </row>
    <row r="852">
      <c r="B852" s="25"/>
    </row>
    <row r="853">
      <c r="B853" s="25"/>
    </row>
    <row r="854">
      <c r="B854" s="25"/>
    </row>
    <row r="855">
      <c r="B855" s="25"/>
    </row>
    <row r="856">
      <c r="B856" s="25"/>
    </row>
    <row r="857">
      <c r="B857" s="25"/>
    </row>
    <row r="858">
      <c r="B858" s="25"/>
    </row>
    <row r="859">
      <c r="B859" s="25"/>
    </row>
    <row r="860">
      <c r="B860" s="25"/>
    </row>
    <row r="861">
      <c r="B861" s="25"/>
    </row>
    <row r="862">
      <c r="B862" s="25"/>
    </row>
    <row r="863">
      <c r="B863" s="25"/>
    </row>
    <row r="864">
      <c r="B864" s="25"/>
    </row>
    <row r="865">
      <c r="B865" s="25"/>
    </row>
    <row r="866">
      <c r="B866" s="25"/>
    </row>
    <row r="867">
      <c r="B867" s="25"/>
    </row>
    <row r="868">
      <c r="B868" s="25"/>
    </row>
    <row r="869">
      <c r="B869" s="25"/>
    </row>
    <row r="870">
      <c r="B870" s="25"/>
    </row>
    <row r="871">
      <c r="B871" s="25"/>
    </row>
    <row r="872">
      <c r="B872" s="25"/>
    </row>
    <row r="873">
      <c r="B873" s="25"/>
    </row>
    <row r="874">
      <c r="B874" s="25"/>
    </row>
    <row r="875">
      <c r="B875" s="25"/>
    </row>
    <row r="876">
      <c r="B876" s="25"/>
    </row>
    <row r="877">
      <c r="B877" s="25"/>
    </row>
    <row r="878">
      <c r="B878" s="25"/>
    </row>
    <row r="879">
      <c r="B879" s="25"/>
    </row>
    <row r="880">
      <c r="B880" s="25"/>
    </row>
    <row r="881">
      <c r="B881" s="25"/>
    </row>
    <row r="882">
      <c r="B882" s="25"/>
    </row>
    <row r="883">
      <c r="B883" s="25"/>
    </row>
    <row r="884">
      <c r="B884" s="25"/>
    </row>
    <row r="885">
      <c r="B885" s="25"/>
    </row>
    <row r="886">
      <c r="B886" s="25"/>
    </row>
    <row r="887">
      <c r="B887" s="25"/>
    </row>
    <row r="888">
      <c r="B888" s="25"/>
    </row>
    <row r="889">
      <c r="B889" s="25"/>
    </row>
    <row r="890">
      <c r="B890" s="25"/>
    </row>
    <row r="891">
      <c r="B891" s="25"/>
    </row>
    <row r="892">
      <c r="B892" s="25"/>
    </row>
    <row r="893">
      <c r="B893" s="25"/>
    </row>
    <row r="894">
      <c r="B894" s="25"/>
    </row>
    <row r="895">
      <c r="B895" s="25"/>
    </row>
    <row r="896">
      <c r="B896" s="25"/>
    </row>
    <row r="897">
      <c r="B897" s="25"/>
    </row>
    <row r="898">
      <c r="B898" s="25"/>
    </row>
    <row r="899">
      <c r="B899" s="25"/>
    </row>
    <row r="900">
      <c r="B900" s="25"/>
    </row>
    <row r="901">
      <c r="B901" s="25"/>
    </row>
    <row r="902">
      <c r="B902" s="25"/>
    </row>
    <row r="903">
      <c r="B903" s="25"/>
    </row>
    <row r="904">
      <c r="B904" s="25"/>
    </row>
    <row r="905">
      <c r="B905" s="25"/>
    </row>
    <row r="906">
      <c r="B906" s="25"/>
    </row>
    <row r="907">
      <c r="B907" s="25"/>
    </row>
    <row r="908">
      <c r="B908" s="25"/>
    </row>
    <row r="909">
      <c r="B909" s="25"/>
    </row>
    <row r="910">
      <c r="B910" s="25"/>
    </row>
    <row r="911">
      <c r="B911" s="25"/>
    </row>
    <row r="912">
      <c r="B912" s="25"/>
    </row>
    <row r="913">
      <c r="B913" s="25"/>
    </row>
    <row r="914">
      <c r="B914" s="25"/>
    </row>
    <row r="915">
      <c r="B915" s="25"/>
    </row>
    <row r="916">
      <c r="B916" s="25"/>
    </row>
    <row r="917">
      <c r="B917" s="25"/>
    </row>
    <row r="918">
      <c r="B918" s="25"/>
    </row>
    <row r="919">
      <c r="B919" s="25"/>
    </row>
    <row r="920">
      <c r="B920" s="25"/>
    </row>
    <row r="921">
      <c r="B921" s="25"/>
    </row>
    <row r="922">
      <c r="B922" s="25"/>
    </row>
    <row r="923">
      <c r="B923" s="25"/>
    </row>
    <row r="924">
      <c r="B924" s="25"/>
    </row>
    <row r="925">
      <c r="B925" s="25"/>
    </row>
    <row r="926">
      <c r="B926" s="25"/>
    </row>
    <row r="927">
      <c r="B927" s="25"/>
    </row>
    <row r="928">
      <c r="B928" s="25"/>
    </row>
    <row r="929">
      <c r="B929" s="25"/>
    </row>
    <row r="930">
      <c r="B930" s="25"/>
    </row>
    <row r="931">
      <c r="B931" s="25"/>
    </row>
    <row r="932">
      <c r="B932" s="25"/>
    </row>
    <row r="933">
      <c r="B933" s="25"/>
    </row>
    <row r="934">
      <c r="B934" s="25"/>
    </row>
    <row r="935">
      <c r="B935" s="25"/>
    </row>
    <row r="936">
      <c r="B936" s="25"/>
    </row>
    <row r="937">
      <c r="B937" s="25"/>
    </row>
    <row r="938">
      <c r="B938" s="25"/>
    </row>
    <row r="939">
      <c r="B939" s="25"/>
    </row>
    <row r="940">
      <c r="B940" s="25"/>
    </row>
    <row r="941">
      <c r="B941" s="25"/>
    </row>
    <row r="942">
      <c r="B942" s="25"/>
    </row>
    <row r="943">
      <c r="B943" s="25"/>
    </row>
    <row r="944">
      <c r="B944" s="25"/>
    </row>
    <row r="945">
      <c r="B945" s="25"/>
    </row>
    <row r="946">
      <c r="B946" s="25"/>
    </row>
    <row r="947">
      <c r="B947" s="25"/>
    </row>
    <row r="948">
      <c r="B948" s="25"/>
    </row>
    <row r="949">
      <c r="B949" s="25"/>
    </row>
    <row r="950">
      <c r="B950" s="25"/>
    </row>
    <row r="951">
      <c r="B951" s="25"/>
    </row>
    <row r="952">
      <c r="B952" s="25"/>
    </row>
    <row r="953">
      <c r="B953" s="25"/>
    </row>
    <row r="954">
      <c r="B954" s="25"/>
    </row>
    <row r="955">
      <c r="B955" s="25"/>
    </row>
    <row r="956">
      <c r="B956" s="25"/>
    </row>
    <row r="957">
      <c r="B957" s="25"/>
    </row>
    <row r="958">
      <c r="B958" s="25"/>
    </row>
    <row r="959">
      <c r="B959" s="25"/>
    </row>
    <row r="960">
      <c r="B960" s="25"/>
    </row>
    <row r="961">
      <c r="B961" s="25"/>
    </row>
    <row r="962">
      <c r="B962" s="25"/>
    </row>
    <row r="963">
      <c r="B963" s="25"/>
    </row>
    <row r="964">
      <c r="B964" s="25"/>
    </row>
    <row r="965">
      <c r="B965" s="25"/>
    </row>
    <row r="966">
      <c r="B966" s="25"/>
    </row>
    <row r="967">
      <c r="B967" s="25"/>
    </row>
    <row r="968">
      <c r="B968" s="25"/>
    </row>
    <row r="969">
      <c r="B969" s="25"/>
    </row>
    <row r="970">
      <c r="B970" s="25"/>
    </row>
    <row r="971">
      <c r="B971" s="25"/>
    </row>
    <row r="972">
      <c r="B972" s="25"/>
    </row>
    <row r="973">
      <c r="B973" s="25"/>
    </row>
    <row r="974">
      <c r="B974" s="25"/>
    </row>
    <row r="975">
      <c r="B975" s="25"/>
    </row>
    <row r="976">
      <c r="B976" s="25"/>
    </row>
    <row r="977">
      <c r="B977" s="25"/>
    </row>
    <row r="978">
      <c r="B978" s="25"/>
    </row>
    <row r="979">
      <c r="B979" s="25"/>
    </row>
    <row r="980">
      <c r="B980" s="25"/>
    </row>
    <row r="981">
      <c r="B981" s="25"/>
    </row>
    <row r="982">
      <c r="B982" s="25"/>
    </row>
    <row r="983">
      <c r="B983" s="25"/>
    </row>
    <row r="984">
      <c r="B984" s="25"/>
    </row>
    <row r="985">
      <c r="B985" s="25"/>
    </row>
    <row r="986">
      <c r="B986" s="25"/>
    </row>
    <row r="987">
      <c r="B987" s="25"/>
    </row>
    <row r="988">
      <c r="B988" s="25"/>
    </row>
    <row r="989">
      <c r="B989" s="25"/>
    </row>
    <row r="990">
      <c r="B990" s="25"/>
    </row>
    <row r="991">
      <c r="B991" s="25"/>
    </row>
    <row r="992">
      <c r="B992" s="25"/>
    </row>
    <row r="993">
      <c r="B993" s="25"/>
    </row>
    <row r="994">
      <c r="B994" s="25"/>
    </row>
    <row r="995">
      <c r="B995" s="25"/>
    </row>
    <row r="996">
      <c r="B996" s="25"/>
    </row>
    <row r="997">
      <c r="B997" s="25"/>
    </row>
    <row r="998">
      <c r="B998" s="25"/>
    </row>
    <row r="999">
      <c r="B999" s="25"/>
    </row>
    <row r="1000">
      <c r="B1000" s="25"/>
    </row>
    <row r="1001">
      <c r="B1001" s="25"/>
    </row>
    <row r="1002">
      <c r="B1002" s="25"/>
    </row>
    <row r="1003">
      <c r="B1003" s="25"/>
    </row>
  </sheetData>
  <mergeCells count="1">
    <mergeCell ref="A17:C1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13.25"/>
    <col customWidth="1" min="3" max="3" width="30.75"/>
    <col customWidth="1" min="4" max="4" width="29.5"/>
    <col customWidth="1" min="5" max="5" width="11.5"/>
    <col customWidth="1" min="6" max="6" width="18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7</v>
      </c>
      <c r="F1" s="1"/>
      <c r="G1" s="3"/>
    </row>
    <row r="2">
      <c r="A2" s="4">
        <v>2027.0</v>
      </c>
      <c r="B2" s="4" t="s">
        <v>11</v>
      </c>
      <c r="C2" s="5" t="s">
        <v>13</v>
      </c>
      <c r="D2" s="5" t="s">
        <v>14</v>
      </c>
      <c r="E2" s="7">
        <v>30000.0</v>
      </c>
      <c r="F2" s="3"/>
      <c r="G2" s="3"/>
    </row>
    <row r="3">
      <c r="A3" s="4">
        <v>2027.0</v>
      </c>
      <c r="B3" s="4" t="s">
        <v>11</v>
      </c>
      <c r="C3" s="5" t="s">
        <v>17</v>
      </c>
      <c r="D3" s="5" t="s">
        <v>18</v>
      </c>
      <c r="E3" s="7">
        <v>20000.0</v>
      </c>
      <c r="F3" s="3"/>
      <c r="G3" s="3"/>
    </row>
    <row r="4">
      <c r="A4" s="4">
        <v>2027.0</v>
      </c>
      <c r="B4" s="4" t="s">
        <v>11</v>
      </c>
      <c r="C4" s="5" t="s">
        <v>19</v>
      </c>
      <c r="D4" s="5" t="s">
        <v>20</v>
      </c>
      <c r="E4" s="7">
        <v>10000.0</v>
      </c>
      <c r="F4" s="3"/>
      <c r="G4" s="3"/>
    </row>
    <row r="5">
      <c r="A5" s="4">
        <v>2027.0</v>
      </c>
      <c r="B5" s="4" t="s">
        <v>21</v>
      </c>
      <c r="C5" s="5" t="s">
        <v>22</v>
      </c>
      <c r="D5" s="5" t="s">
        <v>23</v>
      </c>
      <c r="E5" s="7">
        <v>2000.0</v>
      </c>
      <c r="F5" s="3"/>
      <c r="G5" s="3"/>
    </row>
    <row r="6">
      <c r="A6" s="4">
        <v>2027.0</v>
      </c>
      <c r="B6" s="4" t="s">
        <v>32</v>
      </c>
      <c r="C6" s="5" t="s">
        <v>34</v>
      </c>
      <c r="D6" s="5" t="s">
        <v>36</v>
      </c>
      <c r="E6" s="7">
        <v>2000.0</v>
      </c>
      <c r="F6" s="3"/>
      <c r="G6" s="3"/>
    </row>
    <row r="7">
      <c r="A7" s="4">
        <v>2027.0</v>
      </c>
      <c r="B7" s="4" t="s">
        <v>41</v>
      </c>
      <c r="C7" s="5" t="s">
        <v>43</v>
      </c>
      <c r="D7" s="5" t="s">
        <v>44</v>
      </c>
      <c r="E7" s="7">
        <v>2000.0</v>
      </c>
      <c r="F7" s="3"/>
      <c r="G7" s="3"/>
    </row>
    <row r="8">
      <c r="A8" s="1" t="s">
        <v>45</v>
      </c>
      <c r="E8" s="18">
        <f>SUM(E2:E7)</f>
        <v>66000</v>
      </c>
      <c r="F8" s="3"/>
      <c r="G8" s="3"/>
    </row>
    <row r="9">
      <c r="A9" s="4">
        <v>2028.0</v>
      </c>
      <c r="B9" s="4" t="s">
        <v>11</v>
      </c>
      <c r="C9" s="5" t="s">
        <v>50</v>
      </c>
      <c r="D9" s="5" t="s">
        <v>52</v>
      </c>
      <c r="E9" s="7">
        <v>10000.0</v>
      </c>
      <c r="F9" s="3"/>
      <c r="G9" s="3"/>
    </row>
    <row r="10">
      <c r="A10" s="4">
        <v>2028.0</v>
      </c>
      <c r="B10" s="4" t="s">
        <v>11</v>
      </c>
      <c r="C10" s="5" t="s">
        <v>55</v>
      </c>
      <c r="D10" s="5" t="s">
        <v>57</v>
      </c>
      <c r="E10" s="7">
        <v>10000.0</v>
      </c>
      <c r="F10" s="3"/>
      <c r="G10" s="3"/>
    </row>
    <row r="11">
      <c r="A11" s="4">
        <v>2028.0</v>
      </c>
      <c r="B11" s="4" t="s">
        <v>60</v>
      </c>
      <c r="C11" s="5" t="s">
        <v>61</v>
      </c>
      <c r="D11" s="5" t="s">
        <v>62</v>
      </c>
      <c r="E11" s="7">
        <v>4000.0</v>
      </c>
      <c r="F11" s="3"/>
      <c r="G11" s="3"/>
    </row>
    <row r="12">
      <c r="A12" s="4">
        <v>2028.0</v>
      </c>
      <c r="B12" s="4" t="s">
        <v>11</v>
      </c>
      <c r="C12" s="5" t="s">
        <v>65</v>
      </c>
      <c r="D12" s="5" t="s">
        <v>67</v>
      </c>
      <c r="E12" s="7">
        <v>20000.0</v>
      </c>
      <c r="F12" s="3"/>
      <c r="G12" s="3"/>
    </row>
    <row r="13">
      <c r="A13" s="4">
        <v>2028.0</v>
      </c>
      <c r="B13" s="4" t="s">
        <v>21</v>
      </c>
      <c r="C13" s="5" t="s">
        <v>69</v>
      </c>
      <c r="D13" s="5" t="s">
        <v>70</v>
      </c>
      <c r="E13" s="7">
        <v>2000.0</v>
      </c>
      <c r="F13" s="3"/>
      <c r="G13" s="3"/>
    </row>
    <row r="14">
      <c r="A14" s="1" t="s">
        <v>72</v>
      </c>
      <c r="E14" s="18">
        <f>SUM(E9:E13)</f>
        <v>46000</v>
      </c>
      <c r="F14" s="3"/>
      <c r="G14" s="3"/>
    </row>
    <row r="15">
      <c r="A15" s="1" t="s">
        <v>74</v>
      </c>
      <c r="E15" s="36">
        <f>E8+E14</f>
        <v>112000</v>
      </c>
      <c r="F15" s="3"/>
      <c r="G15" s="3"/>
    </row>
    <row r="16">
      <c r="A16" s="25"/>
      <c r="B16" s="25"/>
      <c r="C16" s="25"/>
      <c r="D16" s="25"/>
      <c r="E16" s="25"/>
      <c r="F16" s="25"/>
      <c r="G16" s="25"/>
    </row>
    <row r="17">
      <c r="A17" s="25"/>
      <c r="B17" s="25"/>
      <c r="C17" s="25"/>
      <c r="D17" s="25"/>
      <c r="E17" s="25"/>
      <c r="F17" s="25"/>
      <c r="G17" s="25"/>
    </row>
    <row r="18">
      <c r="A18" s="25"/>
      <c r="B18" s="25"/>
      <c r="C18" s="25"/>
      <c r="D18" s="25"/>
      <c r="E18" s="25"/>
      <c r="F18" s="25"/>
      <c r="G18" s="25"/>
    </row>
    <row r="19">
      <c r="A19" s="25"/>
      <c r="B19" s="25"/>
      <c r="C19" s="25"/>
      <c r="D19" s="25"/>
      <c r="E19" s="25"/>
      <c r="F19" s="25"/>
      <c r="G19" s="25"/>
    </row>
  </sheetData>
  <mergeCells count="3">
    <mergeCell ref="A8:D8"/>
    <mergeCell ref="A14:D14"/>
    <mergeCell ref="A15:D1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  <col customWidth="1" min="3" max="3" width="15.0"/>
    <col customWidth="1" min="4" max="6" width="12.88"/>
  </cols>
  <sheetData>
    <row r="1">
      <c r="A1" s="10" t="s">
        <v>24</v>
      </c>
      <c r="B1" s="10" t="s">
        <v>27</v>
      </c>
      <c r="C1" s="10" t="s">
        <v>28</v>
      </c>
      <c r="D1" s="10" t="s">
        <v>30</v>
      </c>
      <c r="E1" s="10" t="s">
        <v>33</v>
      </c>
      <c r="F1" s="10" t="s">
        <v>35</v>
      </c>
      <c r="G1" s="10" t="s">
        <v>37</v>
      </c>
      <c r="H1" s="10" t="s">
        <v>39</v>
      </c>
    </row>
    <row r="2">
      <c r="A2" s="13" t="s">
        <v>40</v>
      </c>
      <c r="B2" s="13">
        <v>60.0</v>
      </c>
      <c r="C2" s="13">
        <v>3.0</v>
      </c>
      <c r="D2" s="13">
        <v>75.0</v>
      </c>
      <c r="E2" s="13">
        <v>0.15</v>
      </c>
      <c r="F2" s="13" t="s">
        <v>46</v>
      </c>
      <c r="G2" s="13">
        <v>5841.41</v>
      </c>
      <c r="H2" s="24">
        <f t="shared" ref="H2:H3" si="1">G2*1.22</f>
        <v>7126.5202</v>
      </c>
    </row>
    <row r="3">
      <c r="A3" s="13" t="s">
        <v>63</v>
      </c>
      <c r="B3" s="13">
        <v>65.0</v>
      </c>
      <c r="C3" s="13">
        <v>5.0</v>
      </c>
      <c r="D3" s="13">
        <v>100.0</v>
      </c>
      <c r="E3" s="25"/>
      <c r="F3" s="13" t="s">
        <v>46</v>
      </c>
      <c r="G3" s="29">
        <v>4861.0</v>
      </c>
      <c r="H3" s="24">
        <f t="shared" si="1"/>
        <v>5930.42</v>
      </c>
    </row>
    <row r="4">
      <c r="A4" s="25"/>
      <c r="B4" s="25"/>
      <c r="C4" s="25"/>
      <c r="D4" s="25"/>
      <c r="E4" s="25"/>
      <c r="F4" s="25"/>
      <c r="G4" s="13"/>
      <c r="H4" s="25"/>
    </row>
    <row r="5">
      <c r="A5" s="25"/>
      <c r="B5" s="25"/>
      <c r="C5" s="25"/>
      <c r="D5" s="25"/>
      <c r="E5" s="25"/>
      <c r="F5" s="25"/>
      <c r="G5" s="25"/>
      <c r="H5" s="25"/>
    </row>
    <row r="6">
      <c r="A6" s="25"/>
      <c r="B6" s="25"/>
      <c r="C6" s="25"/>
      <c r="D6" s="25"/>
      <c r="E6" s="25"/>
      <c r="F6" s="25"/>
      <c r="G6" s="25"/>
      <c r="H6" s="25"/>
    </row>
    <row r="7">
      <c r="A7" s="25"/>
      <c r="B7" s="25"/>
      <c r="C7" s="25"/>
      <c r="D7" s="25"/>
      <c r="E7" s="25"/>
      <c r="F7" s="25"/>
      <c r="G7" s="25"/>
      <c r="H7" s="25"/>
    </row>
    <row r="8">
      <c r="A8" s="25"/>
      <c r="B8" s="25"/>
      <c r="C8" s="25"/>
      <c r="D8" s="25"/>
      <c r="E8" s="25"/>
      <c r="F8" s="25"/>
      <c r="G8" s="25"/>
      <c r="H8" s="25"/>
    </row>
    <row r="9">
      <c r="A9" s="25"/>
      <c r="B9" s="25"/>
      <c r="C9" s="25"/>
      <c r="D9" s="25"/>
      <c r="E9" s="25"/>
      <c r="F9" s="25"/>
      <c r="G9" s="25"/>
      <c r="H9" s="25"/>
    </row>
    <row r="10">
      <c r="A10" s="25"/>
      <c r="B10" s="25"/>
      <c r="C10" s="25"/>
      <c r="D10" s="25"/>
      <c r="E10" s="25"/>
      <c r="F10" s="25"/>
      <c r="G10" s="25"/>
      <c r="H10" s="25"/>
    </row>
    <row r="11">
      <c r="A11" s="25"/>
      <c r="B11" s="25"/>
      <c r="C11" s="25"/>
      <c r="D11" s="25"/>
      <c r="E11" s="25"/>
      <c r="F11" s="25"/>
      <c r="G11" s="25"/>
      <c r="H11" s="25"/>
    </row>
    <row r="12">
      <c r="A12" s="25"/>
      <c r="B12" s="25"/>
      <c r="C12" s="25"/>
      <c r="D12" s="25"/>
      <c r="E12" s="25"/>
      <c r="F12" s="25"/>
      <c r="G12" s="25"/>
      <c r="H12" s="25"/>
    </row>
  </sheetData>
  <drawing r:id="rId1"/>
</worksheet>
</file>