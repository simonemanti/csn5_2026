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st" sheetId="1" state="visible" r:id="rId2"/>
    <sheet name="2_Cost" sheetId="2" state="visible" r:id="rId3"/>
    <sheet name="3_Cost" sheetId="3" state="visible" r:id="rId4"/>
    <sheet name="X-ray Tub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Allowed values: 1 or 2 only.</t>
        </r>
      </text>
    </comment>
    <comment ref="D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2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3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4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5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6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7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8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7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8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99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0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1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2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3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4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5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  <comment ref="D106" authorId="0">
      <text>
        <r>
          <rPr>
            <sz val="10"/>
            <color rgb="FF000000"/>
            <rFont val="Arial"/>
            <family val="0"/>
            <charset val="1"/>
          </rPr>
          <t xml:space="preserve">Automatically set to €0 when a cost item is entered.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0" authorId="0">
      <text>
        <r>
          <rPr>
            <sz val="10"/>
            <color rgb="FF000000"/>
            <rFont val="Arial"/>
            <family val="0"/>
            <charset val="1"/>
          </rPr>
          <t xml:space="preserve">Assumption: preliminary budget based on supplier prices already entered in the workbook, including VAT.</t>
        </r>
      </text>
    </comment>
  </commentList>
</comments>
</file>

<file path=xl/sharedStrings.xml><?xml version="1.0" encoding="utf-8"?>
<sst xmlns="http://schemas.openxmlformats.org/spreadsheetml/2006/main" count="166" uniqueCount="117">
  <si>
    <t xml:space="preserve">Year (1 or 2) ▼</t>
  </si>
  <si>
    <t xml:space="preserve">Cost Element / Activity</t>
  </si>
  <si>
    <t xml:space="preserve">Cost (€)</t>
  </si>
  <si>
    <t xml:space="preserve">In-Kind (€)</t>
  </si>
  <si>
    <t xml:space="preserve">% of Year Cost</t>
  </si>
  <si>
    <t xml:space="preserve">% of Total Budget</t>
  </si>
  <si>
    <t xml:space="preserve">Quotation</t>
  </si>
  <si>
    <t xml:space="preserve">CZT custom multicanale</t>
  </si>
  <si>
    <t xml:space="preserve">WIP</t>
  </si>
  <si>
    <t xml:space="preserve">Digitizer</t>
  </si>
  <si>
    <t xml:space="preserve">SI</t>
  </si>
  <si>
    <t xml:space="preserve">Cristalli Ge (880)</t>
  </si>
  <si>
    <t xml:space="preserve">Target e Campioni</t>
  </si>
  <si>
    <t xml:space="preserve">NO</t>
  </si>
  <si>
    <t xml:space="preserve">Slits</t>
  </si>
  <si>
    <t xml:space="preserve">NR</t>
  </si>
  <si>
    <t xml:space="preserve">Supporto campione + CZT</t>
  </si>
  <si>
    <t xml:space="preserve">Assi, motori e movimentazioni</t>
  </si>
  <si>
    <t xml:space="preserve">X-ray tube</t>
  </si>
  <si>
    <t xml:space="preserve">Tube power supply</t>
  </si>
  <si>
    <t xml:space="preserve">Chiller o sistema di raffreddamento</t>
  </si>
  <si>
    <t xml:space="preserve">Travels</t>
  </si>
  <si>
    <t xml:space="preserve">Consumabili e lavorazioni</t>
  </si>
  <si>
    <t xml:space="preserve">Two-Year Budget Summary</t>
  </si>
  <si>
    <t xml:space="preserve">Period</t>
  </si>
  <si>
    <t xml:space="preserve">Summary</t>
  </si>
  <si>
    <t xml:space="preserve">Year 1</t>
  </si>
  <si>
    <t xml:space="preserve">Total cost</t>
  </si>
  <si>
    <t xml:space="preserve">Year 2</t>
  </si>
  <si>
    <t xml:space="preserve">Two Years</t>
  </si>
  <si>
    <t xml:space="preserve">Total budget</t>
  </si>
  <si>
    <t xml:space="preserve">Year validation</t>
  </si>
  <si>
    <t xml:space="preserve">Cost category</t>
  </si>
  <si>
    <t xml:space="preserve">Item / description</t>
  </si>
  <si>
    <t xml:space="preserve">Purpose / related WP</t>
  </si>
  <si>
    <t xml:space="preserve">2027 (€)</t>
  </si>
  <si>
    <t xml:space="preserve">2028 (€)</t>
  </si>
  <si>
    <t xml:space="preserve">Total (€)</t>
  </si>
  <si>
    <t xml:space="preserve">Equipment</t>
  </si>
  <si>
    <t xml:space="preserve">Multichannel CZT detector</t>
  </si>
  <si>
    <t xml:space="preserve">Multichannel fluorescence detection and spectral acquisition – WP2</t>
  </si>
  <si>
    <t xml:space="preserve">Required – detailed quotation attached</t>
  </si>
  <si>
    <t xml:space="preserve">Multichannel signal digitization and synchronized data acquisition – WP2</t>
  </si>
  <si>
    <t xml:space="preserve">Bent crystal optics</t>
  </si>
  <si>
    <t xml:space="preserve">Ge/Si bent crystals for selected absorption edges above 20 keV – WP1/WP2</t>
  </si>
  <si>
    <t xml:space="preserve">Consumables</t>
  </si>
  <si>
    <t xml:space="preserve">Reference samples and targets</t>
  </si>
  <si>
    <t xml:space="preserve">Ag, Mo, Rh and Cd standards for calibration and validation – WP3/WP4</t>
  </si>
  <si>
    <t xml:space="preserve">Supplier estimate</t>
  </si>
  <si>
    <t xml:space="preserve">Precision slits</t>
  </si>
  <si>
    <t xml:space="preserve">Beam definition, collimation and background control – WP2/WP3</t>
  </si>
  <si>
    <t xml:space="preserve">Services</t>
  </si>
  <si>
    <t xml:space="preserve">Custom sample and CZT supports</t>
  </si>
  <si>
    <t xml:space="preserve">Custom mechanical holders for sample positioning and detector alignment – WP2</t>
  </si>
  <si>
    <t xml:space="preserve">Motorized translation stages</t>
  </si>
  <si>
    <t xml:space="preserve">Automated linear positioning of optics, samples and detector – WP2/WP3</t>
  </si>
  <si>
    <t xml:space="preserve">Motorized rotation stages</t>
  </si>
  <si>
    <t xml:space="preserve">Angular alignment of bent crystals and sample geometry – WP2/WP3</t>
  </si>
  <si>
    <t xml:space="preserve">Laboratory excitation source for fluorescence-XAS measurements – WP2/WP3</t>
  </si>
  <si>
    <t xml:space="preserve">X-ray tube power supply</t>
  </si>
  <si>
    <t xml:space="preserve">Dedicated high-voltage/current supply for the X-ray tube – WP2</t>
  </si>
  <si>
    <t xml:space="preserve">Closed-loop cooling system</t>
  </si>
  <si>
    <t xml:space="preserve">Thermal stabilization and cooling of the X-ray tube assembly – WP2/WP3</t>
  </si>
  <si>
    <t xml:space="preserve">Consumables / services</t>
  </si>
  <si>
    <t xml:space="preserve">Consumables and precision machining</t>
  </si>
  <si>
    <t xml:space="preserve">Prototyping, cabling, shielding and minor mechanical adaptations – WP2/WP3</t>
  </si>
  <si>
    <t xml:space="preserve">Travel</t>
  </si>
  <si>
    <t xml:space="preserve">Experimental activity at collaborating facilities</t>
  </si>
  <si>
    <t xml:space="preserve">Setup tests and comparative measurements supporting validation – WP3/WP4</t>
  </si>
  <si>
    <t xml:space="preserve">Internal estimate</t>
  </si>
  <si>
    <t xml:space="preserve">Project and collaboration meetings</t>
  </si>
  <si>
    <t xml:space="preserve">Technical coordination and integration meetings – WP1–WP4</t>
  </si>
  <si>
    <t xml:space="preserve">EXRS 2028 conference (oral presentation only)</t>
  </si>
  <si>
    <t xml:space="preserve">Dissemination of final results, conditional on accepted oral presentation – WP4</t>
  </si>
  <si>
    <t xml:space="preserve">Total requested</t>
  </si>
  <si>
    <t xml:space="preserve">Year</t>
  </si>
  <si>
    <t xml:space="preserve">Category</t>
  </si>
  <si>
    <t xml:space="preserve">Item</t>
  </si>
  <si>
    <t xml:space="preserve">Purpose/WP</t>
  </si>
  <si>
    <t xml:space="preserve">Cost [€]</t>
  </si>
  <si>
    <t xml:space="preserve">CZT Detector and Front-End</t>
  </si>
  <si>
    <t xml:space="preserve">Fluorescence Detection - WP2</t>
  </si>
  <si>
    <t xml:space="preserve">Digitizer and DAQ</t>
  </si>
  <si>
    <t xml:space="preserve">Signal Acquisition - WP2</t>
  </si>
  <si>
    <t xml:space="preserve">Motorized Stages and Controllers</t>
  </si>
  <si>
    <t xml:space="preserve">Automated Positioning - WP3</t>
  </si>
  <si>
    <t xml:space="preserve">Ag Reference Targets</t>
  </si>
  <si>
    <t xml:space="preserve">Calibration Tests - WP2/WP4</t>
  </si>
  <si>
    <t xml:space="preserve">Custom Mechanical Supports</t>
  </si>
  <si>
    <t xml:space="preserve">Instrument Integration - WP3</t>
  </si>
  <si>
    <t xml:space="preserve">Computing</t>
  </si>
  <si>
    <t xml:space="preserve">DataCloud CPU and Storage</t>
  </si>
  <si>
    <t xml:space="preserve">End-to-End Simulations - WP1</t>
  </si>
  <si>
    <t xml:space="preserve">Total 2027</t>
  </si>
  <si>
    <t xml:space="preserve">Cooled X-ray Tube</t>
  </si>
  <si>
    <t xml:space="preserve">Excitation Source - WP3</t>
  </si>
  <si>
    <t xml:space="preserve">X-ray Tube Power Supply</t>
  </si>
  <si>
    <t xml:space="preserve">Source Operation - WP3</t>
  </si>
  <si>
    <t xml:space="preserve">Oral Conference Travel</t>
  </si>
  <si>
    <t xml:space="preserve">Results Dissemination - WP4</t>
  </si>
  <si>
    <t xml:space="preserve">Bent Crystal Optics</t>
  </si>
  <si>
    <t xml:space="preserve">Energy Selection - WP3</t>
  </si>
  <si>
    <t xml:space="preserve">Additional Reference Targets</t>
  </si>
  <si>
    <t xml:space="preserve">Multi-Edge Validation - WP4</t>
  </si>
  <si>
    <t xml:space="preserve">Total 2028</t>
  </si>
  <si>
    <t xml:space="preserve">Total</t>
  </si>
  <si>
    <t xml:space="preserve">Producer</t>
  </si>
  <si>
    <t xml:space="preserve">Max Voltage [kV]</t>
  </si>
  <si>
    <t xml:space="preserve">Max Current [mA]</t>
  </si>
  <si>
    <t xml:space="preserve">Max Power [W]</t>
  </si>
  <si>
    <t xml:space="preserve">Spot Size [mm]</t>
  </si>
  <si>
    <t xml:space="preserve">Anode</t>
  </si>
  <si>
    <t xml:space="preserve">Price</t>
  </si>
  <si>
    <t xml:space="preserve">Price+VAT</t>
  </si>
  <si>
    <t xml:space="preserve">Micro-Xray</t>
  </si>
  <si>
    <t xml:space="preserve">W</t>
  </si>
  <si>
    <t xml:space="preserve">Rontgen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</si>
</sst>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&quot;€ &quot;#,##0;[RED]&quot;(€ &quot;#,##0\);&quot;€ &quot;0"/>
    <numFmt numFmtId="167" formatCode="0.0%"/>
    <numFmt numFmtId="168" formatCode="[$€]#,##0"/>
    <numFmt numFmtId="169" formatCode="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70C0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FF7F0E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6F8F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>
        <color rgb="FFA6A6A6"/>
      </top>
      <bottom style="thin">
        <color rgb="FFD9D9D9"/>
      </bottom>
      <diagonal/>
    </border>
    <border diagonalUp="false" diagonalDown="false">
      <left/>
      <right/>
      <top/>
      <bottom style="thin">
        <color rgb="FF1F77B4"/>
      </bottom>
      <diagonal/>
    </border>
    <border diagonalUp="false" diagonalDown="false">
      <left/>
      <right/>
      <top/>
      <bottom style="thin">
        <color rgb="FFCC650B"/>
      </bottom>
      <diagonal/>
    </border>
    <border diagonalUp="false" diagonalDown="false">
      <left/>
      <right/>
      <top/>
      <bottom style="thin">
        <color rgb="FFFF7F0E"/>
      </bottom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CFCFC"/>
          <bgColor rgb="FF1B1E20"/>
        </patternFill>
      </fill>
    </dxf>
    <dxf>
      <fill>
        <patternFill patternType="solid">
          <fgColor rgb="FF222222"/>
        </patternFill>
      </fill>
    </dxf>
    <dxf>
      <fill>
        <patternFill patternType="solid">
          <fgColor rgb="FFFF7F0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C650B"/>
      <rgbColor rgb="FF800080"/>
      <rgbColor rgb="FF1F77B4"/>
      <rgbColor rgb="FFC0C0C0"/>
      <rgbColor rgb="FF808080"/>
      <rgbColor rgb="FF9999FF"/>
      <rgbColor rgb="FF993366"/>
      <rgbColor rgb="FFFFF2CC"/>
      <rgbColor rgb="FFF6F8F9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7F0E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a_1" displayName="Tabella_1" ref="A1:G106" headerRowCount="1" totalsRowCount="0" totalsRowShown="0">
  <tableColumns count="7">
    <tableColumn id="1" name="Year (1 or 2) ▼"/>
    <tableColumn id="2" name="Cost Element / Activity"/>
    <tableColumn id="3" name="Cost (€)"/>
    <tableColumn id="4" name="In-Kind (€)"/>
    <tableColumn id="5" name="% of Year Cost"/>
    <tableColumn id="6" name="% of Total Budget"/>
    <tableColumn id="7" name="Quota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5"/>
    <col collapsed="false" customWidth="true" hidden="false" outlineLevel="0" max="2" min="2" style="0" width="30.63"/>
    <col collapsed="false" customWidth="true" hidden="false" outlineLevel="0" max="3" min="3" style="0" width="12.37"/>
    <col collapsed="false" customWidth="true" hidden="false" outlineLevel="0" max="4" min="4" style="0" width="14.5"/>
    <col collapsed="false" customWidth="true" hidden="false" outlineLevel="0" max="5" min="5" style="0" width="21.63"/>
    <col collapsed="false" customWidth="true" hidden="false" outlineLevel="0" max="6" min="6" style="0" width="20.88"/>
    <col collapsed="false" customWidth="true" hidden="false" outlineLevel="0" max="7" min="7" style="0" width="16.87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22.5" hidden="false" customHeight="true" outlineLevel="0" collapsed="false">
      <c r="A2" s="5" t="n">
        <v>1</v>
      </c>
      <c r="B2" s="6" t="s">
        <v>7</v>
      </c>
      <c r="C2" s="7" t="n">
        <v>30000</v>
      </c>
      <c r="D2" s="7" t="n">
        <f aca="false">IF(COUNTA(A2:C2)=0,"",0)</f>
        <v>0</v>
      </c>
      <c r="E2" s="8" t="n">
        <f aca="false">IF(OR(A2="",C2=""),"",IF(OR(A2=1,A2=2),IF(SUMIF($A$2:$A$15,A2,$C$2:$C$15)=0,"",C2/SUMIF($A$2:$A$15,A2,$C$2:$C$15)),""))</f>
        <v>0.352941176470588</v>
      </c>
      <c r="F2" s="9" t="n">
        <f aca="false">IF(OR(A2="",C2=""),"",IF(OR(A2=1,A2=2),IF(SUM($C$2:$C$15)=0,"",C2/SUM($C$2:$C$15)),""))</f>
        <v>0.204081632653061</v>
      </c>
      <c r="G2" s="10" t="s">
        <v>8</v>
      </c>
      <c r="H2" s="3"/>
      <c r="I2" s="3"/>
      <c r="J2" s="3"/>
      <c r="K2" s="3"/>
      <c r="L2" s="3"/>
      <c r="M2" s="3"/>
    </row>
    <row r="3" customFormat="false" ht="22.5" hidden="false" customHeight="true" outlineLevel="0" collapsed="false">
      <c r="A3" s="5" t="n">
        <v>1</v>
      </c>
      <c r="B3" s="6" t="s">
        <v>9</v>
      </c>
      <c r="C3" s="7" t="n">
        <v>22000</v>
      </c>
      <c r="D3" s="7" t="n">
        <f aca="false">IF(COUNTA(A3:C3)=0,"",0)</f>
        <v>0</v>
      </c>
      <c r="E3" s="8" t="n">
        <f aca="false">IF(OR(A3="",C3=""),"",IF(OR(A3=1,A3=2),IF(SUMIF($A$2:$A$15,A3,$C$2:$C$15)=0,"",C3/SUMIF($A$2:$A$15,A3,$C$2:$C$15)),""))</f>
        <v>0.258823529411765</v>
      </c>
      <c r="F3" s="9" t="n">
        <f aca="false">IF(OR(A3="",C3=""),"",IF(OR(A3=1,A3=2),IF(SUM($C$2:$C$15)=0,"",C3/SUM($C$2:$C$15)),""))</f>
        <v>0.149659863945578</v>
      </c>
      <c r="G3" s="10" t="s">
        <v>10</v>
      </c>
      <c r="H3" s="3"/>
      <c r="I3" s="3"/>
      <c r="J3" s="11"/>
      <c r="K3" s="11"/>
      <c r="L3" s="12"/>
      <c r="M3" s="12"/>
    </row>
    <row r="4" customFormat="false" ht="22.5" hidden="false" customHeight="true" outlineLevel="0" collapsed="false">
      <c r="A4" s="5" t="n">
        <v>1</v>
      </c>
      <c r="B4" s="6" t="s">
        <v>11</v>
      </c>
      <c r="C4" s="7" t="n">
        <v>20000</v>
      </c>
      <c r="D4" s="7" t="n">
        <f aca="false">IF(COUNTA(A4:C4)=0,"",0)</f>
        <v>0</v>
      </c>
      <c r="E4" s="8" t="n">
        <f aca="false">IF(OR(A4="",C4=""),"",IF(OR(A4=1,A4=2),IF(SUMIF($A$2:$A$15,A4,$C$2:$C$15)=0,"",C4/SUMIF($A$2:$A$15,A4,$C$2:$C$15)),""))</f>
        <v>0.235294117647059</v>
      </c>
      <c r="F4" s="9" t="n">
        <f aca="false">IF(OR(A4="",C4=""),"",IF(OR(A4=1,A4=2),IF(SUM($C$2:$C$15)=0,"",C4/SUM($C$2:$C$15)),""))</f>
        <v>0.136054421768707</v>
      </c>
      <c r="G4" s="10" t="s">
        <v>8</v>
      </c>
      <c r="H4" s="3"/>
      <c r="I4" s="3"/>
      <c r="J4" s="11"/>
      <c r="K4" s="11"/>
      <c r="L4" s="12"/>
      <c r="M4" s="12"/>
    </row>
    <row r="5" customFormat="false" ht="22.5" hidden="false" customHeight="true" outlineLevel="0" collapsed="false">
      <c r="A5" s="5" t="n">
        <v>1</v>
      </c>
      <c r="B5" s="6" t="s">
        <v>12</v>
      </c>
      <c r="C5" s="7" t="n">
        <v>2000</v>
      </c>
      <c r="D5" s="7" t="n">
        <f aca="false">IF(COUNTA(A5:C5)=0,"",0)</f>
        <v>0</v>
      </c>
      <c r="E5" s="8" t="n">
        <f aca="false">IF(OR(A5="",C5=""),"",IF(OR(A5=1,A5=2),IF(SUMIF($A$2:$A$15,A5,$C$2:$C$15)=0,"",C5/SUMIF($A$2:$A$15,A5,$C$2:$C$15)),""))</f>
        <v>0.0235294117647059</v>
      </c>
      <c r="F5" s="9" t="n">
        <f aca="false">IF(OR(A5="",C5=""),"",IF(OR(A5=1,A5=2),IF(SUM($C$2:$C$15)=0,"",C5/SUM($C$2:$C$15)),""))</f>
        <v>0.0136054421768707</v>
      </c>
      <c r="G5" s="10" t="s">
        <v>13</v>
      </c>
      <c r="H5" s="3"/>
      <c r="I5" s="3"/>
      <c r="J5" s="11"/>
      <c r="K5" s="11"/>
      <c r="L5" s="12"/>
      <c r="M5" s="12"/>
    </row>
    <row r="6" customFormat="false" ht="22.5" hidden="false" customHeight="true" outlineLevel="0" collapsed="false">
      <c r="A6" s="13" t="n">
        <v>1</v>
      </c>
      <c r="B6" s="6" t="s">
        <v>14</v>
      </c>
      <c r="C6" s="7" t="n">
        <v>0</v>
      </c>
      <c r="D6" s="7" t="n">
        <v>2000</v>
      </c>
      <c r="E6" s="8" t="n">
        <f aca="false">IF(OR(A6="",C6=""),"",IF(OR(A6=1,A6=2),IF(SUMIF($A$2:$A$15,A6,$C$2:$C$15)=0,"",C6/SUMIF($A$2:$A$15,A6,$C$2:$C$15)),""))</f>
        <v>0</v>
      </c>
      <c r="F6" s="9" t="n">
        <f aca="false">IF(OR(A6="",C6=""),"",IF(OR(A6=1,A6=2),IF(SUM($C$2:$C$15)=0,"",C6/SUM($C$2:$C$15)),""))</f>
        <v>0</v>
      </c>
      <c r="G6" s="10" t="s">
        <v>15</v>
      </c>
    </row>
    <row r="7" customFormat="false" ht="22.5" hidden="false" customHeight="true" outlineLevel="0" collapsed="false">
      <c r="A7" s="13" t="n">
        <v>1</v>
      </c>
      <c r="B7" s="6" t="s">
        <v>16</v>
      </c>
      <c r="C7" s="7" t="n">
        <v>3000</v>
      </c>
      <c r="D7" s="7" t="n">
        <v>0</v>
      </c>
      <c r="E7" s="8" t="n">
        <f aca="false">IF(OR(A7="",C7=""),"",IF(OR(A7=1,A7=2),IF(SUMIF($A$2:$A$15,A7,$C$2:$C$15)=0,"",C7/SUMIF($A$2:$A$15,A7,$C$2:$C$15)),""))</f>
        <v>0.0352941176470588</v>
      </c>
      <c r="F7" s="9" t="n">
        <f aca="false">IF(OR(A7="",C7=""),"",IF(OR(A7=1,A7=2),IF(SUM($C$2:$C$15)=0,"",C7/SUM($C$2:$C$15)),""))</f>
        <v>0.0204081632653061</v>
      </c>
      <c r="G7" s="10" t="s">
        <v>15</v>
      </c>
      <c r="H7" s="3"/>
      <c r="I7" s="3"/>
      <c r="J7" s="3"/>
      <c r="K7" s="3"/>
      <c r="L7" s="3"/>
      <c r="M7" s="3"/>
    </row>
    <row r="8" customFormat="false" ht="22.5" hidden="false" customHeight="true" outlineLevel="0" collapsed="false">
      <c r="A8" s="13" t="n">
        <v>1</v>
      </c>
      <c r="B8" s="14" t="s">
        <v>17</v>
      </c>
      <c r="C8" s="7" t="n">
        <v>8000</v>
      </c>
      <c r="D8" s="7" t="n">
        <v>3000</v>
      </c>
      <c r="E8" s="8" t="n">
        <f aca="false">IF(OR(A8="",C8=""),"",IF(OR(A8=1,A8=2),IF(SUMIF($A$2:$A$15,A8,$C$2:$C$15)=0,"",C8/SUMIF($A$2:$A$15,A8,$C$2:$C$15)),""))</f>
        <v>0.0941176470588235</v>
      </c>
      <c r="F8" s="9" t="n">
        <f aca="false">IF(OR(A8="",C8=""),"",IF(OR(A8=1,A8=2),IF(SUM($C$2:$C$15)=0,"",C8/SUM($C$2:$C$15)),""))</f>
        <v>0.054421768707483</v>
      </c>
      <c r="G8" s="10" t="s">
        <v>8</v>
      </c>
      <c r="H8" s="15"/>
    </row>
    <row r="9" customFormat="false" ht="22.5" hidden="false" customHeight="true" outlineLevel="0" collapsed="false">
      <c r="A9" s="16" t="n">
        <v>2</v>
      </c>
      <c r="B9" s="17" t="s">
        <v>18</v>
      </c>
      <c r="C9" s="18" t="n">
        <v>40000</v>
      </c>
      <c r="D9" s="7" t="n">
        <f aca="false">IF(COUNTA(A9:C9)=0,"",0)</f>
        <v>0</v>
      </c>
      <c r="E9" s="8" t="n">
        <f aca="false">IF(OR(A9="",C9=""),"",IF(OR(A9=1,A9=2),IF(SUMIF($A$2:$A$15,A9,$C$2:$C$15)=0,"",C9/SUMIF($A$2:$A$15,A9,$C$2:$C$15)),""))</f>
        <v>0.645161290322581</v>
      </c>
      <c r="F9" s="9" t="n">
        <f aca="false">IF(OR(A9="",C9=""),"",IF(OR(A9=1,A9=2),IF(SUM($C$2:$C$15)=0,"",C9/SUM($C$2:$C$15)),""))</f>
        <v>0.272108843537415</v>
      </c>
      <c r="G9" s="10" t="s">
        <v>10</v>
      </c>
    </row>
    <row r="10" customFormat="false" ht="22.5" hidden="false" customHeight="true" outlineLevel="0" collapsed="false">
      <c r="A10" s="19" t="n">
        <v>2</v>
      </c>
      <c r="B10" s="20" t="s">
        <v>19</v>
      </c>
      <c r="C10" s="21" t="n">
        <v>10000</v>
      </c>
      <c r="D10" s="21" t="n">
        <f aca="false">IF(COUNTA(A10:C10)=0,"",0)</f>
        <v>0</v>
      </c>
      <c r="E10" s="22" t="n">
        <f aca="false">IF(OR(A10="",C10=""),"",IF(OR(A10=1,A10=2),IF(SUMIF($A$2:$A$15,A10,$C$2:$C$15)=0,"",C10/SUMIF($A$2:$A$15,A10,$C$2:$C$15)),""))</f>
        <v>0.161290322580645</v>
      </c>
      <c r="F10" s="22" t="n">
        <f aca="false">IF(OR(A10="",C10=""),"",IF(OR(A10=1,A10=2),IF(SUM($C$2:$C$15)=0,"",C10/SUM($C$2:$C$15)),""))</f>
        <v>0.0680272108843537</v>
      </c>
      <c r="G10" s="10" t="s">
        <v>13</v>
      </c>
    </row>
    <row r="11" customFormat="false" ht="22.5" hidden="false" customHeight="true" outlineLevel="0" collapsed="false">
      <c r="A11" s="13" t="n">
        <v>2</v>
      </c>
      <c r="B11" s="14" t="s">
        <v>20</v>
      </c>
      <c r="C11" s="7" t="n">
        <v>5000</v>
      </c>
      <c r="D11" s="7" t="n">
        <f aca="false">IF(COUNTA(A11:C11)=0,"",0)</f>
        <v>0</v>
      </c>
      <c r="E11" s="9" t="n">
        <f aca="false">IF(OR(A11="",C11=""),"",IF(OR(A11=1,A11=2),IF(SUMIF($A$2:$A$15,A11,$C$2:$C$15)=0,"",C11/SUMIF($A$2:$A$15,A11,$C$2:$C$15)),""))</f>
        <v>0.0806451612903226</v>
      </c>
      <c r="F11" s="9" t="n">
        <f aca="false">IF(OR(A11="",C11=""),"",IF(OR(A11=1,A11=2),IF(SUM($C$2:$C$15)=0,"",C11/SUM($C$2:$C$15)),""))</f>
        <v>0.0340136054421769</v>
      </c>
      <c r="G11" s="10" t="s">
        <v>13</v>
      </c>
    </row>
    <row r="12" customFormat="false" ht="22.5" hidden="false" customHeight="true" outlineLevel="0" collapsed="false">
      <c r="A12" s="5" t="n">
        <v>2</v>
      </c>
      <c r="B12" s="6" t="s">
        <v>21</v>
      </c>
      <c r="C12" s="7" t="n">
        <v>3000</v>
      </c>
      <c r="D12" s="7" t="n">
        <f aca="false">IF(COUNTA(A12:C12)=0,"",0)</f>
        <v>0</v>
      </c>
      <c r="E12" s="9" t="n">
        <f aca="false">IF(OR(A12="",C12=""),"",IF(OR(A12=1,A12=2),IF(SUMIF($A$2:$A$15,A12,$C$2:$C$15)=0,"",C12/SUMIF($A$2:$A$15,A12,$C$2:$C$15)),""))</f>
        <v>0.0483870967741936</v>
      </c>
      <c r="F12" s="9" t="n">
        <f aca="false">IF(OR(A12="",C12=""),"",IF(OR(A12=1,A12=2),IF(SUM($C$2:$C$15)=0,"",C12/SUM($C$2:$C$15)),""))</f>
        <v>0.0204081632653061</v>
      </c>
      <c r="G12" s="10" t="s">
        <v>15</v>
      </c>
    </row>
    <row r="13" customFormat="false" ht="22.5" hidden="false" customHeight="true" outlineLevel="0" collapsed="false">
      <c r="A13" s="13" t="n">
        <v>2</v>
      </c>
      <c r="B13" s="14" t="s">
        <v>22</v>
      </c>
      <c r="C13" s="7" t="n">
        <v>4000</v>
      </c>
      <c r="D13" s="7" t="n">
        <f aca="false">IF(COUNTA(A13:C13)=0,"",0)</f>
        <v>0</v>
      </c>
      <c r="E13" s="9" t="n">
        <f aca="false">IF(OR(A13="",C13=""),"",IF(OR(A13=1,A13=2),IF(SUMIF($A$2:$A$15,A13,$C$2:$C$15)=0,"",C13/SUMIF($A$2:$A$15,A13,$C$2:$C$15)),""))</f>
        <v>0.0645161290322581</v>
      </c>
      <c r="F13" s="9" t="n">
        <f aca="false">IF(OR(A13="",C13=""),"",IF(OR(A13=1,A13=2),IF(SUM($C$2:$C$15)=0,"",C13/SUM($C$2:$C$15)),""))</f>
        <v>0.0272108843537415</v>
      </c>
      <c r="G13" s="10" t="s">
        <v>15</v>
      </c>
    </row>
    <row r="14" customFormat="false" ht="22.5" hidden="false" customHeight="true" outlineLevel="0" collapsed="false">
      <c r="A14" s="23"/>
      <c r="B14" s="24"/>
      <c r="C14" s="25"/>
      <c r="D14" s="26" t="str">
        <f aca="false">IF(COUNTA(A14:C14)=0,"",0)</f>
        <v/>
      </c>
      <c r="E14" s="27" t="str">
        <f aca="false">IF(OR(A14="",C14=""),"",IF(OR(A14=1,A14=2),IF(SUMIF($A$2:$A$15,A14,$C$2:$C$15)=0,"",C14/SUMIF($A$2:$A$15,A14,$C$2:$C$15)),""))</f>
        <v/>
      </c>
      <c r="F14" s="28" t="str">
        <f aca="false">IF(OR(A14="",C14=""),"",IF(OR(A14=1,A14=2),IF(SUM($C$2:$C$15)=0,"",C14/SUM($C$2:$C$15)),""))</f>
        <v/>
      </c>
      <c r="G14" s="29"/>
    </row>
    <row r="15" customFormat="false" ht="22.5" hidden="false" customHeight="true" outlineLevel="0" collapsed="false">
      <c r="A15" s="23"/>
      <c r="B15" s="24"/>
      <c r="C15" s="25"/>
      <c r="D15" s="26" t="str">
        <f aca="false">IF(COUNTA(A15:C15)=0,"",0)</f>
        <v/>
      </c>
      <c r="E15" s="27" t="str">
        <f aca="false">IF(OR(A15="",C15=""),"",IF(OR(A15=1,A15=2),IF(SUMIF($A$2:$A$15,A15,$C$2:$C$15)=0,"",C15/SUMIF($A$2:$A$15,A15,$C$2:$C$15)),""))</f>
        <v/>
      </c>
      <c r="F15" s="28" t="str">
        <f aca="false">IF(OR(A15="",C15=""),"",IF(OR(A15=1,A15=2),IF(SUM($C$2:$C$15)=0,"",C15/SUM($C$2:$C$15)),""))</f>
        <v/>
      </c>
      <c r="G15" s="29"/>
    </row>
    <row r="16" customFormat="false" ht="22.5" hidden="false" customHeight="true" outlineLevel="0" collapsed="false">
      <c r="A16" s="30"/>
      <c r="B16" s="31" t="s">
        <v>23</v>
      </c>
      <c r="C16" s="32"/>
      <c r="D16" s="32"/>
      <c r="E16" s="33"/>
      <c r="F16" s="33"/>
      <c r="G16" s="29"/>
    </row>
    <row r="17" customFormat="false" ht="22.5" hidden="false" customHeight="true" outlineLevel="0" collapsed="false">
      <c r="A17" s="34" t="s">
        <v>24</v>
      </c>
      <c r="B17" s="35" t="s">
        <v>25</v>
      </c>
      <c r="C17" s="36" t="s">
        <v>2</v>
      </c>
      <c r="D17" s="36" t="s">
        <v>3</v>
      </c>
      <c r="E17" s="37" t="s">
        <v>4</v>
      </c>
      <c r="F17" s="37" t="s">
        <v>5</v>
      </c>
      <c r="G17" s="29"/>
    </row>
    <row r="18" customFormat="false" ht="22.5" hidden="false" customHeight="true" outlineLevel="0" collapsed="false">
      <c r="A18" s="38" t="s">
        <v>26</v>
      </c>
      <c r="B18" s="39" t="s">
        <v>27</v>
      </c>
      <c r="C18" s="40" t="n">
        <f aca="false">SUMIF($A$2:$A$15,1,$C$2:$C$15)</f>
        <v>85000</v>
      </c>
      <c r="D18" s="40" t="n">
        <f aca="false">SUMIF($A$2:$A$15,1,$D$2:$D$15)</f>
        <v>5000</v>
      </c>
      <c r="E18" s="27" t="n">
        <f aca="false">IF(C18=0,"",1)</f>
        <v>1</v>
      </c>
      <c r="F18" s="27" t="n">
        <f aca="false">IF($C$20=0,"",C18/$C$20)</f>
        <v>0.578231292517007</v>
      </c>
      <c r="G18" s="29"/>
    </row>
    <row r="19" customFormat="false" ht="22.5" hidden="false" customHeight="true" outlineLevel="0" collapsed="false">
      <c r="A19" s="38" t="s">
        <v>28</v>
      </c>
      <c r="B19" s="39" t="s">
        <v>27</v>
      </c>
      <c r="C19" s="40" t="n">
        <f aca="false">SUMIF($A$2:$A$15,2,$C$2:$C$15)</f>
        <v>62000</v>
      </c>
      <c r="D19" s="40" t="n">
        <f aca="false">SUMIF($A$2:$A$15,2,$D$2:$D$15)</f>
        <v>0</v>
      </c>
      <c r="E19" s="27" t="n">
        <f aca="false">IF(C19=0,"",1)</f>
        <v>1</v>
      </c>
      <c r="F19" s="27" t="n">
        <f aca="false">IF($C$20=0,"",C19/$C$20)</f>
        <v>0.421768707482993</v>
      </c>
      <c r="G19" s="29"/>
    </row>
    <row r="20" customFormat="false" ht="22.5" hidden="false" customHeight="true" outlineLevel="0" collapsed="false">
      <c r="A20" s="41" t="s">
        <v>29</v>
      </c>
      <c r="B20" s="42" t="s">
        <v>30</v>
      </c>
      <c r="C20" s="43" t="n">
        <f aca="false">SUM(C18:C19)</f>
        <v>147000</v>
      </c>
      <c r="D20" s="43" t="n">
        <f aca="false">SUM(D18:D19)</f>
        <v>5000</v>
      </c>
      <c r="E20" s="44"/>
      <c r="F20" s="44" t="n">
        <f aca="false">IF(C20=0,"",1)</f>
        <v>1</v>
      </c>
      <c r="G20" s="29"/>
    </row>
    <row r="21" customFormat="false" ht="22.5" hidden="false" customHeight="true" outlineLevel="0" collapsed="false">
      <c r="A21" s="29"/>
      <c r="B21" s="45"/>
      <c r="C21" s="46"/>
      <c r="D21" s="46"/>
      <c r="E21" s="47"/>
      <c r="F21" s="47"/>
      <c r="G21" s="29"/>
    </row>
    <row r="22" customFormat="false" ht="22.5" hidden="false" customHeight="true" outlineLevel="0" collapsed="false">
      <c r="A22" s="48" t="s">
        <v>31</v>
      </c>
      <c r="B22" s="49" t="str">
        <f aca="false">IF(SUMPRODUCT(--($B$2:$B$15&lt;&gt;""),--($A$2:$A$15&lt;&gt;1),--($A$2:$A$15&lt;&gt;2))&gt;0,"ERROR: choose Year 1 or 2","OK: Year is 1 or 2")</f>
        <v>OK: Year is 1 or 2</v>
      </c>
      <c r="C22" s="46"/>
      <c r="D22" s="46"/>
      <c r="E22" s="47"/>
      <c r="F22" s="47"/>
      <c r="G22" s="29"/>
    </row>
    <row r="23" customFormat="false" ht="22.5" hidden="false" customHeight="true" outlineLevel="0" collapsed="false">
      <c r="A23" s="29"/>
      <c r="B23" s="45"/>
      <c r="C23" s="46"/>
      <c r="D23" s="46"/>
      <c r="E23" s="47"/>
      <c r="F23" s="47"/>
      <c r="G23" s="29"/>
    </row>
    <row r="24" customFormat="false" ht="22.5" hidden="false" customHeight="true" outlineLevel="0" collapsed="false">
      <c r="A24" s="29"/>
      <c r="B24" s="45"/>
      <c r="C24" s="46"/>
      <c r="D24" s="46"/>
      <c r="E24" s="47"/>
      <c r="F24" s="47"/>
      <c r="G24" s="29"/>
    </row>
    <row r="25" customFormat="false" ht="22.5" hidden="false" customHeight="true" outlineLevel="0" collapsed="false">
      <c r="A25" s="29"/>
      <c r="B25" s="45"/>
      <c r="C25" s="46"/>
      <c r="D25" s="46"/>
      <c r="E25" s="47"/>
      <c r="F25" s="47"/>
      <c r="G25" s="29"/>
    </row>
    <row r="26" customFormat="false" ht="22.5" hidden="false" customHeight="true" outlineLevel="0" collapsed="false">
      <c r="A26" s="29"/>
      <c r="B26" s="45"/>
      <c r="C26" s="46"/>
      <c r="D26" s="46"/>
      <c r="E26" s="47"/>
      <c r="F26" s="47"/>
      <c r="G26" s="29"/>
    </row>
    <row r="27" customFormat="false" ht="22.5" hidden="false" customHeight="true" outlineLevel="0" collapsed="false">
      <c r="A27" s="29"/>
      <c r="B27" s="45"/>
      <c r="C27" s="46"/>
      <c r="D27" s="46"/>
      <c r="E27" s="47"/>
      <c r="F27" s="47"/>
      <c r="G27" s="29"/>
    </row>
    <row r="28" customFormat="false" ht="22.5" hidden="false" customHeight="true" outlineLevel="0" collapsed="false">
      <c r="A28" s="29"/>
      <c r="B28" s="45"/>
      <c r="C28" s="46"/>
      <c r="D28" s="46"/>
      <c r="E28" s="47"/>
      <c r="F28" s="47"/>
      <c r="G28" s="29"/>
    </row>
    <row r="29" customFormat="false" ht="22.5" hidden="false" customHeight="true" outlineLevel="0" collapsed="false">
      <c r="A29" s="29"/>
      <c r="B29" s="45"/>
      <c r="C29" s="46"/>
      <c r="D29" s="46"/>
      <c r="E29" s="47"/>
      <c r="F29" s="47"/>
      <c r="G29" s="29"/>
    </row>
    <row r="30" customFormat="false" ht="22.5" hidden="false" customHeight="true" outlineLevel="0" collapsed="false">
      <c r="A30" s="29"/>
      <c r="B30" s="45"/>
      <c r="C30" s="46"/>
      <c r="D30" s="46"/>
      <c r="E30" s="47"/>
      <c r="F30" s="47"/>
      <c r="G30" s="29"/>
    </row>
    <row r="31" customFormat="false" ht="22.5" hidden="false" customHeight="true" outlineLevel="0" collapsed="false">
      <c r="A31" s="29"/>
      <c r="B31" s="45"/>
      <c r="C31" s="46"/>
      <c r="D31" s="46"/>
      <c r="E31" s="47"/>
      <c r="F31" s="47"/>
      <c r="G31" s="29"/>
    </row>
    <row r="32" customFormat="false" ht="22.5" hidden="false" customHeight="true" outlineLevel="0" collapsed="false">
      <c r="A32" s="29"/>
      <c r="B32" s="45"/>
      <c r="C32" s="46"/>
      <c r="D32" s="46"/>
      <c r="E32" s="47"/>
      <c r="F32" s="47"/>
      <c r="G32" s="29"/>
    </row>
    <row r="33" customFormat="false" ht="22.5" hidden="false" customHeight="true" outlineLevel="0" collapsed="false">
      <c r="A33" s="29"/>
      <c r="B33" s="45"/>
      <c r="C33" s="46"/>
      <c r="D33" s="46"/>
      <c r="E33" s="47"/>
      <c r="F33" s="47"/>
      <c r="G33" s="29"/>
    </row>
    <row r="34" customFormat="false" ht="22.5" hidden="false" customHeight="true" outlineLevel="0" collapsed="false">
      <c r="A34" s="29"/>
      <c r="B34" s="45"/>
      <c r="C34" s="46"/>
      <c r="D34" s="46"/>
      <c r="E34" s="47"/>
      <c r="F34" s="47"/>
      <c r="G34" s="29"/>
    </row>
    <row r="35" customFormat="false" ht="22.5" hidden="false" customHeight="true" outlineLevel="0" collapsed="false">
      <c r="A35" s="29"/>
      <c r="B35" s="45"/>
      <c r="C35" s="46"/>
      <c r="D35" s="46"/>
      <c r="E35" s="47"/>
      <c r="F35" s="47"/>
      <c r="G35" s="29"/>
    </row>
    <row r="36" customFormat="false" ht="22.5" hidden="false" customHeight="true" outlineLevel="0" collapsed="false">
      <c r="A36" s="29"/>
      <c r="B36" s="45"/>
      <c r="C36" s="46"/>
      <c r="D36" s="46"/>
      <c r="E36" s="47"/>
      <c r="F36" s="47"/>
      <c r="G36" s="29"/>
    </row>
    <row r="37" customFormat="false" ht="22.5" hidden="false" customHeight="true" outlineLevel="0" collapsed="false">
      <c r="A37" s="29"/>
      <c r="B37" s="45"/>
      <c r="C37" s="46"/>
      <c r="D37" s="46"/>
      <c r="E37" s="47"/>
      <c r="F37" s="47"/>
      <c r="G37" s="29"/>
    </row>
    <row r="38" customFormat="false" ht="22.5" hidden="false" customHeight="true" outlineLevel="0" collapsed="false">
      <c r="A38" s="29"/>
      <c r="B38" s="45"/>
      <c r="C38" s="46"/>
      <c r="D38" s="46"/>
      <c r="E38" s="47"/>
      <c r="F38" s="47"/>
      <c r="G38" s="29"/>
    </row>
    <row r="39" customFormat="false" ht="22.5" hidden="false" customHeight="true" outlineLevel="0" collapsed="false">
      <c r="A39" s="29"/>
      <c r="B39" s="45"/>
      <c r="C39" s="46"/>
      <c r="D39" s="46"/>
      <c r="E39" s="47"/>
      <c r="F39" s="47"/>
      <c r="G39" s="29"/>
    </row>
    <row r="40" customFormat="false" ht="22.5" hidden="false" customHeight="true" outlineLevel="0" collapsed="false">
      <c r="A40" s="29"/>
      <c r="B40" s="45"/>
      <c r="C40" s="46"/>
      <c r="D40" s="46"/>
      <c r="E40" s="47"/>
      <c r="F40" s="47"/>
      <c r="G40" s="29"/>
    </row>
    <row r="41" customFormat="false" ht="22.5" hidden="false" customHeight="true" outlineLevel="0" collapsed="false">
      <c r="A41" s="29"/>
      <c r="B41" s="45"/>
      <c r="C41" s="46"/>
      <c r="D41" s="46"/>
      <c r="E41" s="47"/>
      <c r="F41" s="47"/>
      <c r="G41" s="29"/>
    </row>
    <row r="42" customFormat="false" ht="22.5" hidden="false" customHeight="true" outlineLevel="0" collapsed="false">
      <c r="A42" s="29"/>
      <c r="B42" s="45"/>
      <c r="C42" s="46"/>
      <c r="D42" s="46"/>
      <c r="E42" s="47"/>
      <c r="F42" s="47"/>
      <c r="G42" s="29"/>
    </row>
    <row r="43" customFormat="false" ht="22.5" hidden="false" customHeight="true" outlineLevel="0" collapsed="false">
      <c r="A43" s="29"/>
      <c r="B43" s="45"/>
      <c r="C43" s="46"/>
      <c r="D43" s="46"/>
      <c r="E43" s="47"/>
      <c r="F43" s="47"/>
      <c r="G43" s="29"/>
    </row>
    <row r="44" customFormat="false" ht="22.5" hidden="false" customHeight="true" outlineLevel="0" collapsed="false">
      <c r="A44" s="29"/>
      <c r="B44" s="45"/>
      <c r="C44" s="46"/>
      <c r="D44" s="46"/>
      <c r="E44" s="47"/>
      <c r="F44" s="47"/>
      <c r="G44" s="29"/>
    </row>
    <row r="45" customFormat="false" ht="22.5" hidden="false" customHeight="true" outlineLevel="0" collapsed="false">
      <c r="A45" s="29"/>
      <c r="B45" s="45"/>
      <c r="C45" s="46"/>
      <c r="D45" s="46"/>
      <c r="E45" s="47"/>
      <c r="F45" s="47"/>
      <c r="G45" s="29"/>
    </row>
    <row r="46" customFormat="false" ht="22.5" hidden="false" customHeight="true" outlineLevel="0" collapsed="false">
      <c r="A46" s="29"/>
      <c r="B46" s="45"/>
      <c r="C46" s="46"/>
      <c r="D46" s="46"/>
      <c r="E46" s="47"/>
      <c r="F46" s="47"/>
      <c r="G46" s="29"/>
    </row>
    <row r="47" customFormat="false" ht="22.5" hidden="false" customHeight="true" outlineLevel="0" collapsed="false">
      <c r="A47" s="29"/>
      <c r="B47" s="45"/>
      <c r="C47" s="46"/>
      <c r="D47" s="46"/>
      <c r="E47" s="47"/>
      <c r="F47" s="47"/>
      <c r="G47" s="29"/>
    </row>
    <row r="48" customFormat="false" ht="22.5" hidden="false" customHeight="true" outlineLevel="0" collapsed="false">
      <c r="A48" s="29"/>
      <c r="B48" s="45"/>
      <c r="C48" s="46"/>
      <c r="D48" s="46"/>
      <c r="E48" s="47"/>
      <c r="F48" s="47"/>
      <c r="G48" s="29"/>
    </row>
    <row r="49" customFormat="false" ht="22.5" hidden="false" customHeight="true" outlineLevel="0" collapsed="false">
      <c r="A49" s="29"/>
      <c r="B49" s="45"/>
      <c r="C49" s="46"/>
      <c r="D49" s="46"/>
      <c r="E49" s="47"/>
      <c r="F49" s="47"/>
      <c r="G49" s="29"/>
    </row>
    <row r="50" customFormat="false" ht="22.5" hidden="false" customHeight="true" outlineLevel="0" collapsed="false">
      <c r="A50" s="29"/>
      <c r="B50" s="45"/>
      <c r="C50" s="46"/>
      <c r="D50" s="46"/>
      <c r="E50" s="47"/>
      <c r="F50" s="47"/>
      <c r="G50" s="29"/>
    </row>
    <row r="51" customFormat="false" ht="22.5" hidden="false" customHeight="true" outlineLevel="0" collapsed="false">
      <c r="A51" s="29"/>
      <c r="B51" s="45"/>
      <c r="C51" s="46"/>
      <c r="D51" s="46"/>
      <c r="E51" s="47"/>
      <c r="F51" s="47"/>
      <c r="G51" s="29"/>
    </row>
    <row r="52" customFormat="false" ht="22.5" hidden="false" customHeight="true" outlineLevel="0" collapsed="false">
      <c r="A52" s="29"/>
      <c r="B52" s="45"/>
      <c r="C52" s="46"/>
      <c r="D52" s="46"/>
      <c r="E52" s="47"/>
      <c r="F52" s="47"/>
      <c r="G52" s="29"/>
    </row>
    <row r="53" customFormat="false" ht="22.5" hidden="false" customHeight="true" outlineLevel="0" collapsed="false">
      <c r="A53" s="29"/>
      <c r="B53" s="45"/>
      <c r="C53" s="46"/>
      <c r="D53" s="46"/>
      <c r="E53" s="47"/>
      <c r="F53" s="47"/>
      <c r="G53" s="29"/>
    </row>
    <row r="54" customFormat="false" ht="22.5" hidden="false" customHeight="true" outlineLevel="0" collapsed="false">
      <c r="A54" s="29"/>
      <c r="B54" s="45"/>
      <c r="C54" s="46"/>
      <c r="D54" s="46"/>
      <c r="E54" s="47"/>
      <c r="F54" s="47"/>
      <c r="G54" s="29"/>
    </row>
    <row r="55" customFormat="false" ht="22.5" hidden="false" customHeight="true" outlineLevel="0" collapsed="false">
      <c r="A55" s="29"/>
      <c r="B55" s="45"/>
      <c r="C55" s="46"/>
      <c r="D55" s="46"/>
      <c r="E55" s="47"/>
      <c r="F55" s="47"/>
      <c r="G55" s="29"/>
    </row>
    <row r="56" customFormat="false" ht="22.5" hidden="false" customHeight="true" outlineLevel="0" collapsed="false">
      <c r="A56" s="29"/>
      <c r="B56" s="45"/>
      <c r="C56" s="46"/>
      <c r="D56" s="46"/>
      <c r="E56" s="47"/>
      <c r="F56" s="47"/>
      <c r="G56" s="29"/>
    </row>
    <row r="57" customFormat="false" ht="22.5" hidden="false" customHeight="true" outlineLevel="0" collapsed="false">
      <c r="A57" s="29"/>
      <c r="B57" s="45"/>
      <c r="C57" s="46"/>
      <c r="D57" s="46"/>
      <c r="E57" s="47"/>
      <c r="F57" s="47"/>
      <c r="G57" s="29"/>
    </row>
    <row r="58" customFormat="false" ht="22.5" hidden="false" customHeight="true" outlineLevel="0" collapsed="false">
      <c r="A58" s="29"/>
      <c r="B58" s="45"/>
      <c r="C58" s="46"/>
      <c r="D58" s="46"/>
      <c r="E58" s="47"/>
      <c r="F58" s="47"/>
      <c r="G58" s="29"/>
    </row>
    <row r="59" customFormat="false" ht="22.5" hidden="false" customHeight="true" outlineLevel="0" collapsed="false">
      <c r="A59" s="29"/>
      <c r="B59" s="45"/>
      <c r="C59" s="46"/>
      <c r="D59" s="46"/>
      <c r="E59" s="47"/>
      <c r="F59" s="47"/>
      <c r="G59" s="29"/>
    </row>
    <row r="60" customFormat="false" ht="22.5" hidden="false" customHeight="true" outlineLevel="0" collapsed="false">
      <c r="A60" s="29"/>
      <c r="B60" s="45"/>
      <c r="C60" s="46"/>
      <c r="D60" s="46"/>
      <c r="E60" s="47"/>
      <c r="F60" s="47"/>
      <c r="G60" s="29"/>
    </row>
    <row r="61" customFormat="false" ht="22.5" hidden="false" customHeight="true" outlineLevel="0" collapsed="false">
      <c r="A61" s="29"/>
      <c r="B61" s="45"/>
      <c r="C61" s="46"/>
      <c r="D61" s="46"/>
      <c r="E61" s="47"/>
      <c r="F61" s="47"/>
      <c r="G61" s="29"/>
    </row>
    <row r="62" customFormat="false" ht="22.5" hidden="false" customHeight="true" outlineLevel="0" collapsed="false">
      <c r="A62" s="29"/>
      <c r="B62" s="45"/>
      <c r="C62" s="46"/>
      <c r="D62" s="46"/>
      <c r="E62" s="47"/>
      <c r="F62" s="47"/>
      <c r="G62" s="29"/>
    </row>
    <row r="63" customFormat="false" ht="22.5" hidden="false" customHeight="true" outlineLevel="0" collapsed="false">
      <c r="A63" s="29"/>
      <c r="B63" s="45"/>
      <c r="C63" s="46"/>
      <c r="D63" s="46"/>
      <c r="E63" s="47"/>
      <c r="F63" s="47"/>
      <c r="G63" s="29"/>
    </row>
    <row r="64" customFormat="false" ht="22.5" hidden="false" customHeight="true" outlineLevel="0" collapsed="false">
      <c r="A64" s="29"/>
      <c r="B64" s="45"/>
      <c r="C64" s="46"/>
      <c r="D64" s="46"/>
      <c r="E64" s="47"/>
      <c r="F64" s="47"/>
      <c r="G64" s="29"/>
    </row>
    <row r="65" customFormat="false" ht="22.5" hidden="false" customHeight="true" outlineLevel="0" collapsed="false">
      <c r="A65" s="29"/>
      <c r="B65" s="45"/>
      <c r="C65" s="46"/>
      <c r="D65" s="46"/>
      <c r="E65" s="47"/>
      <c r="F65" s="47"/>
      <c r="G65" s="29"/>
    </row>
    <row r="66" customFormat="false" ht="22.5" hidden="false" customHeight="true" outlineLevel="0" collapsed="false">
      <c r="A66" s="29"/>
      <c r="B66" s="45"/>
      <c r="C66" s="46"/>
      <c r="D66" s="46"/>
      <c r="E66" s="47"/>
      <c r="F66" s="47"/>
      <c r="G66" s="29"/>
    </row>
    <row r="67" customFormat="false" ht="22.5" hidden="false" customHeight="true" outlineLevel="0" collapsed="false">
      <c r="A67" s="29"/>
      <c r="B67" s="45"/>
      <c r="C67" s="46"/>
      <c r="D67" s="46"/>
      <c r="E67" s="47"/>
      <c r="F67" s="47"/>
      <c r="G67" s="29"/>
    </row>
    <row r="68" customFormat="false" ht="22.5" hidden="false" customHeight="true" outlineLevel="0" collapsed="false">
      <c r="A68" s="29"/>
      <c r="B68" s="45"/>
      <c r="C68" s="46"/>
      <c r="D68" s="46"/>
      <c r="E68" s="47"/>
      <c r="F68" s="47"/>
      <c r="G68" s="29"/>
    </row>
    <row r="69" customFormat="false" ht="22.5" hidden="false" customHeight="true" outlineLevel="0" collapsed="false">
      <c r="A69" s="29"/>
      <c r="B69" s="45"/>
      <c r="C69" s="46"/>
      <c r="D69" s="46"/>
      <c r="E69" s="47"/>
      <c r="F69" s="47"/>
      <c r="G69" s="29"/>
    </row>
    <row r="70" customFormat="false" ht="22.5" hidden="false" customHeight="true" outlineLevel="0" collapsed="false">
      <c r="A70" s="29"/>
      <c r="B70" s="45"/>
      <c r="C70" s="46"/>
      <c r="D70" s="46"/>
      <c r="E70" s="47"/>
      <c r="F70" s="47"/>
      <c r="G70" s="29"/>
    </row>
    <row r="71" customFormat="false" ht="22.5" hidden="false" customHeight="true" outlineLevel="0" collapsed="false">
      <c r="A71" s="29"/>
      <c r="B71" s="45"/>
      <c r="C71" s="46"/>
      <c r="D71" s="46"/>
      <c r="E71" s="47"/>
      <c r="F71" s="47"/>
      <c r="G71" s="29"/>
    </row>
    <row r="72" customFormat="false" ht="22.5" hidden="false" customHeight="true" outlineLevel="0" collapsed="false">
      <c r="A72" s="29"/>
      <c r="B72" s="45"/>
      <c r="C72" s="46"/>
      <c r="D72" s="46"/>
      <c r="E72" s="47"/>
      <c r="F72" s="47"/>
      <c r="G72" s="29"/>
    </row>
    <row r="73" customFormat="false" ht="22.5" hidden="false" customHeight="true" outlineLevel="0" collapsed="false">
      <c r="A73" s="29"/>
      <c r="B73" s="45"/>
      <c r="C73" s="46"/>
      <c r="D73" s="46"/>
      <c r="E73" s="47"/>
      <c r="F73" s="47"/>
      <c r="G73" s="29"/>
    </row>
    <row r="74" customFormat="false" ht="22.5" hidden="false" customHeight="true" outlineLevel="0" collapsed="false">
      <c r="A74" s="29"/>
      <c r="B74" s="45"/>
      <c r="C74" s="46"/>
      <c r="D74" s="46"/>
      <c r="E74" s="47"/>
      <c r="F74" s="47"/>
      <c r="G74" s="29"/>
    </row>
    <row r="75" customFormat="false" ht="22.5" hidden="false" customHeight="true" outlineLevel="0" collapsed="false">
      <c r="A75" s="29"/>
      <c r="B75" s="45"/>
      <c r="C75" s="46"/>
      <c r="D75" s="46"/>
      <c r="E75" s="47"/>
      <c r="F75" s="47"/>
      <c r="G75" s="29"/>
    </row>
    <row r="76" customFormat="false" ht="22.5" hidden="false" customHeight="true" outlineLevel="0" collapsed="false">
      <c r="A76" s="29"/>
      <c r="B76" s="45"/>
      <c r="C76" s="46"/>
      <c r="D76" s="46"/>
      <c r="E76" s="47"/>
      <c r="F76" s="47"/>
      <c r="G76" s="29"/>
    </row>
    <row r="77" customFormat="false" ht="22.5" hidden="false" customHeight="true" outlineLevel="0" collapsed="false">
      <c r="A77" s="29"/>
      <c r="B77" s="45"/>
      <c r="C77" s="46"/>
      <c r="D77" s="46"/>
      <c r="E77" s="47"/>
      <c r="F77" s="47"/>
      <c r="G77" s="29"/>
    </row>
    <row r="78" customFormat="false" ht="22.5" hidden="false" customHeight="true" outlineLevel="0" collapsed="false">
      <c r="A78" s="29"/>
      <c r="B78" s="45"/>
      <c r="C78" s="46"/>
      <c r="D78" s="46"/>
      <c r="E78" s="47"/>
      <c r="F78" s="47"/>
      <c r="G78" s="29"/>
    </row>
    <row r="79" customFormat="false" ht="22.5" hidden="false" customHeight="true" outlineLevel="0" collapsed="false">
      <c r="A79" s="29"/>
      <c r="B79" s="45"/>
      <c r="C79" s="46"/>
      <c r="D79" s="46"/>
      <c r="E79" s="47"/>
      <c r="F79" s="47"/>
      <c r="G79" s="29"/>
    </row>
    <row r="80" customFormat="false" ht="22.5" hidden="false" customHeight="true" outlineLevel="0" collapsed="false">
      <c r="A80" s="29"/>
      <c r="B80" s="45"/>
      <c r="C80" s="46"/>
      <c r="D80" s="46"/>
      <c r="E80" s="47"/>
      <c r="F80" s="47"/>
      <c r="G80" s="29"/>
    </row>
    <row r="81" customFormat="false" ht="22.5" hidden="false" customHeight="true" outlineLevel="0" collapsed="false">
      <c r="A81" s="29"/>
      <c r="B81" s="45"/>
      <c r="C81" s="46"/>
      <c r="D81" s="46"/>
      <c r="E81" s="47"/>
      <c r="F81" s="47"/>
      <c r="G81" s="29"/>
    </row>
    <row r="82" customFormat="false" ht="22.5" hidden="false" customHeight="true" outlineLevel="0" collapsed="false">
      <c r="A82" s="29"/>
      <c r="B82" s="45"/>
      <c r="C82" s="46"/>
      <c r="D82" s="46"/>
      <c r="E82" s="47"/>
      <c r="F82" s="47"/>
      <c r="G82" s="29"/>
    </row>
    <row r="83" customFormat="false" ht="22.5" hidden="false" customHeight="true" outlineLevel="0" collapsed="false">
      <c r="A83" s="29"/>
      <c r="B83" s="45"/>
      <c r="C83" s="46"/>
      <c r="D83" s="46"/>
      <c r="E83" s="47"/>
      <c r="F83" s="47"/>
      <c r="G83" s="29"/>
    </row>
    <row r="84" customFormat="false" ht="22.5" hidden="false" customHeight="true" outlineLevel="0" collapsed="false">
      <c r="A84" s="29"/>
      <c r="B84" s="45"/>
      <c r="C84" s="46"/>
      <c r="D84" s="46"/>
      <c r="E84" s="47"/>
      <c r="F84" s="47"/>
      <c r="G84" s="29"/>
    </row>
    <row r="85" customFormat="false" ht="22.5" hidden="false" customHeight="true" outlineLevel="0" collapsed="false">
      <c r="A85" s="29"/>
      <c r="B85" s="45"/>
      <c r="C85" s="46"/>
      <c r="D85" s="46"/>
      <c r="E85" s="47"/>
      <c r="F85" s="47"/>
      <c r="G85" s="29"/>
    </row>
    <row r="86" customFormat="false" ht="22.5" hidden="false" customHeight="true" outlineLevel="0" collapsed="false">
      <c r="A86" s="29"/>
      <c r="B86" s="45"/>
      <c r="C86" s="46"/>
      <c r="D86" s="46"/>
      <c r="E86" s="47"/>
      <c r="F86" s="47"/>
      <c r="G86" s="29"/>
    </row>
    <row r="87" customFormat="false" ht="22.5" hidden="false" customHeight="true" outlineLevel="0" collapsed="false">
      <c r="A87" s="29"/>
      <c r="B87" s="45"/>
      <c r="C87" s="46"/>
      <c r="D87" s="46"/>
      <c r="E87" s="47"/>
      <c r="F87" s="47"/>
      <c r="G87" s="29"/>
    </row>
    <row r="88" customFormat="false" ht="22.5" hidden="false" customHeight="true" outlineLevel="0" collapsed="false">
      <c r="A88" s="29"/>
      <c r="B88" s="45"/>
      <c r="C88" s="46"/>
      <c r="D88" s="46"/>
      <c r="E88" s="47"/>
      <c r="F88" s="47"/>
      <c r="G88" s="29"/>
    </row>
    <row r="89" customFormat="false" ht="22.5" hidden="false" customHeight="true" outlineLevel="0" collapsed="false">
      <c r="A89" s="29"/>
      <c r="B89" s="45"/>
      <c r="C89" s="46"/>
      <c r="D89" s="46"/>
      <c r="E89" s="47"/>
      <c r="F89" s="47"/>
      <c r="G89" s="29"/>
    </row>
    <row r="90" customFormat="false" ht="22.5" hidden="false" customHeight="true" outlineLevel="0" collapsed="false">
      <c r="A90" s="29"/>
      <c r="B90" s="45"/>
      <c r="C90" s="46"/>
      <c r="D90" s="46"/>
      <c r="E90" s="47"/>
      <c r="F90" s="47"/>
      <c r="G90" s="29"/>
    </row>
    <row r="91" customFormat="false" ht="22.5" hidden="false" customHeight="true" outlineLevel="0" collapsed="false">
      <c r="A91" s="29"/>
      <c r="B91" s="45"/>
      <c r="C91" s="46"/>
      <c r="D91" s="46"/>
      <c r="E91" s="47"/>
      <c r="F91" s="47"/>
      <c r="G91" s="29"/>
    </row>
    <row r="92" customFormat="false" ht="22.5" hidden="false" customHeight="true" outlineLevel="0" collapsed="false">
      <c r="A92" s="29"/>
      <c r="B92" s="45"/>
      <c r="C92" s="46"/>
      <c r="D92" s="46"/>
      <c r="E92" s="47"/>
      <c r="F92" s="47"/>
      <c r="G92" s="29"/>
    </row>
    <row r="93" customFormat="false" ht="22.5" hidden="false" customHeight="true" outlineLevel="0" collapsed="false">
      <c r="A93" s="29"/>
      <c r="B93" s="45"/>
      <c r="C93" s="46"/>
      <c r="D93" s="46"/>
      <c r="E93" s="47"/>
      <c r="F93" s="47"/>
      <c r="G93" s="29"/>
    </row>
    <row r="94" customFormat="false" ht="22.5" hidden="false" customHeight="true" outlineLevel="0" collapsed="false">
      <c r="A94" s="29"/>
      <c r="B94" s="45"/>
      <c r="C94" s="46"/>
      <c r="D94" s="46"/>
      <c r="E94" s="47"/>
      <c r="F94" s="47"/>
      <c r="G94" s="29"/>
    </row>
    <row r="95" customFormat="false" ht="22.5" hidden="false" customHeight="true" outlineLevel="0" collapsed="false">
      <c r="A95" s="29"/>
      <c r="B95" s="45"/>
      <c r="C95" s="46"/>
      <c r="D95" s="46"/>
      <c r="E95" s="47"/>
      <c r="F95" s="47"/>
      <c r="G95" s="29"/>
    </row>
    <row r="96" customFormat="false" ht="22.5" hidden="false" customHeight="true" outlineLevel="0" collapsed="false">
      <c r="A96" s="29"/>
      <c r="B96" s="45"/>
      <c r="C96" s="46"/>
      <c r="D96" s="46"/>
      <c r="E96" s="47"/>
      <c r="F96" s="47"/>
      <c r="G96" s="29"/>
    </row>
    <row r="97" customFormat="false" ht="22.5" hidden="false" customHeight="true" outlineLevel="0" collapsed="false">
      <c r="A97" s="29"/>
      <c r="B97" s="45"/>
      <c r="C97" s="46"/>
      <c r="D97" s="46"/>
      <c r="E97" s="47"/>
      <c r="F97" s="47"/>
      <c r="G97" s="29"/>
    </row>
    <row r="98" customFormat="false" ht="22.5" hidden="false" customHeight="true" outlineLevel="0" collapsed="false">
      <c r="A98" s="29"/>
      <c r="B98" s="45"/>
      <c r="C98" s="46"/>
      <c r="D98" s="46"/>
      <c r="E98" s="47"/>
      <c r="F98" s="47"/>
      <c r="G98" s="29"/>
    </row>
    <row r="99" customFormat="false" ht="22.5" hidden="false" customHeight="true" outlineLevel="0" collapsed="false">
      <c r="A99" s="29"/>
      <c r="B99" s="45"/>
      <c r="C99" s="46"/>
      <c r="D99" s="46"/>
      <c r="E99" s="47"/>
      <c r="F99" s="47"/>
      <c r="G99" s="29"/>
    </row>
    <row r="100" customFormat="false" ht="22.5" hidden="false" customHeight="true" outlineLevel="0" collapsed="false">
      <c r="A100" s="29"/>
      <c r="B100" s="45"/>
      <c r="C100" s="46"/>
      <c r="D100" s="46"/>
      <c r="E100" s="47"/>
      <c r="F100" s="47"/>
      <c r="G100" s="29"/>
    </row>
    <row r="101" customFormat="false" ht="22.5" hidden="false" customHeight="true" outlineLevel="0" collapsed="false">
      <c r="A101" s="29"/>
      <c r="B101" s="45"/>
      <c r="C101" s="46"/>
      <c r="D101" s="46"/>
      <c r="E101" s="47"/>
      <c r="F101" s="47"/>
      <c r="G101" s="29"/>
    </row>
    <row r="102" customFormat="false" ht="22.5" hidden="false" customHeight="true" outlineLevel="0" collapsed="false">
      <c r="A102" s="29"/>
      <c r="B102" s="45"/>
      <c r="C102" s="46"/>
      <c r="D102" s="46"/>
      <c r="E102" s="47"/>
      <c r="F102" s="47"/>
      <c r="G102" s="29"/>
    </row>
    <row r="103" customFormat="false" ht="22.5" hidden="false" customHeight="true" outlineLevel="0" collapsed="false">
      <c r="A103" s="29"/>
      <c r="B103" s="45"/>
      <c r="C103" s="46"/>
      <c r="D103" s="46"/>
      <c r="E103" s="47"/>
      <c r="F103" s="47"/>
      <c r="G103" s="29"/>
    </row>
    <row r="104" customFormat="false" ht="22.5" hidden="false" customHeight="true" outlineLevel="0" collapsed="false">
      <c r="A104" s="29"/>
      <c r="B104" s="45"/>
      <c r="C104" s="46"/>
      <c r="D104" s="46"/>
      <c r="E104" s="47"/>
      <c r="F104" s="47"/>
      <c r="G104" s="29"/>
    </row>
    <row r="105" customFormat="false" ht="22.5" hidden="false" customHeight="true" outlineLevel="0" collapsed="false">
      <c r="A105" s="29"/>
      <c r="B105" s="45"/>
      <c r="C105" s="46"/>
      <c r="D105" s="46"/>
      <c r="E105" s="47"/>
      <c r="F105" s="47"/>
      <c r="G105" s="29"/>
    </row>
    <row r="106" customFormat="false" ht="22.5" hidden="false" customHeight="true" outlineLevel="0" collapsed="false">
      <c r="A106" s="29"/>
      <c r="B106" s="45"/>
      <c r="C106" s="46"/>
      <c r="D106" s="46"/>
      <c r="E106" s="47"/>
      <c r="F106" s="47"/>
      <c r="G106" s="29"/>
    </row>
  </sheetData>
  <dataValidations count="3">
    <dataValidation allowBlank="true" errorStyle="stop" operator="between" showDropDown="false" showErrorMessage="false" showInputMessage="false" sqref="G2:G106" type="list">
      <formula1>"SI,NO,NR,WIP"</formula1>
      <formula2>0</formula2>
    </dataValidation>
    <dataValidation allowBlank="true" errorStyle="stop" operator="between" showDropDown="true" showErrorMessage="false" showInputMessage="false" sqref="E2:E106" type="custom">
      <formula1>AND(ISNUMBER(E2),(NOT(OR(NOT(ISERROR(DATEVALUE(E2))), AND(ISNUMBER(E2), LEFT(CELL("format", E2))="D")))))</formula1>
      <formula2>0</formula2>
    </dataValidation>
    <dataValidation allowBlank="true" errorStyle="stop" operator="between" showDropDown="false" showErrorMessage="false" showInputMessage="false" sqref="A2:A106" type="list">
      <formula1>"1,2,Period,Year 1,Year 2,Two Years,Year validation"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35.88"/>
    <col collapsed="false" customWidth="true" hidden="false" outlineLevel="0" max="3" min="3" style="0" width="61"/>
    <col collapsed="false" customWidth="true" hidden="false" outlineLevel="0" max="5" min="4" style="0" width="8.38"/>
    <col collapsed="false" customWidth="true" hidden="false" outlineLevel="0" max="6" min="6" style="0" width="7.38"/>
    <col collapsed="false" customWidth="true" hidden="false" outlineLevel="0" max="7" min="7" style="0" width="29.63"/>
  </cols>
  <sheetData>
    <row r="1" customFormat="false" ht="15.75" hidden="false" customHeight="false" outlineLevel="0" collapsed="false">
      <c r="A1" s="50" t="s">
        <v>32</v>
      </c>
      <c r="B1" s="50" t="s">
        <v>33</v>
      </c>
      <c r="C1" s="50" t="s">
        <v>34</v>
      </c>
      <c r="D1" s="50" t="s">
        <v>35</v>
      </c>
      <c r="E1" s="50" t="s">
        <v>36</v>
      </c>
      <c r="F1" s="50" t="s">
        <v>37</v>
      </c>
      <c r="G1" s="50" t="s">
        <v>6</v>
      </c>
    </row>
    <row r="2" customFormat="false" ht="15.75" hidden="false" customHeight="false" outlineLevel="0" collapsed="false">
      <c r="A2" s="51" t="s">
        <v>38</v>
      </c>
      <c r="B2" s="51" t="s">
        <v>39</v>
      </c>
      <c r="C2" s="51" t="s">
        <v>40</v>
      </c>
      <c r="D2" s="52" t="n">
        <v>30000</v>
      </c>
      <c r="E2" s="52" t="n">
        <v>0</v>
      </c>
      <c r="F2" s="52" t="n">
        <f aca="false">D2+E2</f>
        <v>30000</v>
      </c>
      <c r="G2" s="51" t="s">
        <v>41</v>
      </c>
    </row>
    <row r="3" customFormat="false" ht="15.75" hidden="false" customHeight="false" outlineLevel="0" collapsed="false">
      <c r="A3" s="51" t="s">
        <v>38</v>
      </c>
      <c r="B3" s="53" t="s">
        <v>9</v>
      </c>
      <c r="C3" s="51" t="s">
        <v>42</v>
      </c>
      <c r="D3" s="52" t="n">
        <v>20000</v>
      </c>
      <c r="E3" s="52" t="n">
        <v>0</v>
      </c>
      <c r="F3" s="52" t="n">
        <f aca="false">D3+E3</f>
        <v>20000</v>
      </c>
      <c r="G3" s="51" t="s">
        <v>41</v>
      </c>
    </row>
    <row r="4" customFormat="false" ht="15.75" hidden="false" customHeight="false" outlineLevel="0" collapsed="false">
      <c r="A4" s="51" t="s">
        <v>38</v>
      </c>
      <c r="B4" s="53" t="s">
        <v>43</v>
      </c>
      <c r="C4" s="54" t="s">
        <v>44</v>
      </c>
      <c r="D4" s="55" t="n">
        <v>15000</v>
      </c>
      <c r="E4" s="55" t="n">
        <v>15000</v>
      </c>
      <c r="F4" s="55" t="n">
        <f aca="false">D4+E4</f>
        <v>30000</v>
      </c>
      <c r="G4" s="54" t="s">
        <v>41</v>
      </c>
    </row>
    <row r="5" customFormat="false" ht="15.75" hidden="false" customHeight="false" outlineLevel="0" collapsed="false">
      <c r="A5" s="51" t="s">
        <v>45</v>
      </c>
      <c r="B5" s="56" t="s">
        <v>46</v>
      </c>
      <c r="C5" s="57" t="s">
        <v>47</v>
      </c>
      <c r="D5" s="58" t="n">
        <v>0</v>
      </c>
      <c r="E5" s="58" t="n">
        <v>2000</v>
      </c>
      <c r="F5" s="58" t="n">
        <f aca="false">D5+E5</f>
        <v>2000</v>
      </c>
      <c r="G5" s="59" t="s">
        <v>48</v>
      </c>
    </row>
    <row r="6" customFormat="false" ht="15.75" hidden="false" customHeight="false" outlineLevel="0" collapsed="false">
      <c r="A6" s="51" t="s">
        <v>38</v>
      </c>
      <c r="B6" s="53" t="s">
        <v>49</v>
      </c>
      <c r="C6" s="54" t="s">
        <v>50</v>
      </c>
      <c r="D6" s="55" t="n">
        <v>0</v>
      </c>
      <c r="E6" s="55" t="n">
        <v>2000</v>
      </c>
      <c r="F6" s="55" t="n">
        <f aca="false">D6+E6</f>
        <v>2000</v>
      </c>
      <c r="G6" s="54" t="s">
        <v>48</v>
      </c>
    </row>
    <row r="7" customFormat="false" ht="15.75" hidden="false" customHeight="false" outlineLevel="0" collapsed="false">
      <c r="A7" s="60" t="s">
        <v>51</v>
      </c>
      <c r="B7" s="53" t="s">
        <v>52</v>
      </c>
      <c r="C7" s="59" t="s">
        <v>53</v>
      </c>
      <c r="D7" s="58" t="n">
        <v>0</v>
      </c>
      <c r="E7" s="58" t="n">
        <v>3000</v>
      </c>
      <c r="F7" s="58" t="n">
        <f aca="false">D7+E7</f>
        <v>3000</v>
      </c>
      <c r="G7" s="59" t="s">
        <v>41</v>
      </c>
    </row>
    <row r="8" customFormat="false" ht="15.75" hidden="false" customHeight="false" outlineLevel="0" collapsed="false">
      <c r="A8" s="51" t="s">
        <v>38</v>
      </c>
      <c r="B8" s="53" t="s">
        <v>54</v>
      </c>
      <c r="C8" s="54" t="s">
        <v>55</v>
      </c>
      <c r="D8" s="55" t="n">
        <v>0</v>
      </c>
      <c r="E8" s="55" t="n">
        <v>5000</v>
      </c>
      <c r="F8" s="55" t="n">
        <f aca="false">D8+E8</f>
        <v>5000</v>
      </c>
      <c r="G8" s="54" t="s">
        <v>41</v>
      </c>
    </row>
    <row r="9" customFormat="false" ht="15.75" hidden="false" customHeight="false" outlineLevel="0" collapsed="false">
      <c r="A9" s="51" t="s">
        <v>38</v>
      </c>
      <c r="B9" s="61" t="s">
        <v>56</v>
      </c>
      <c r="C9" s="59" t="s">
        <v>57</v>
      </c>
      <c r="D9" s="58" t="n">
        <v>0</v>
      </c>
      <c r="E9" s="58" t="n">
        <v>3000</v>
      </c>
      <c r="F9" s="58" t="n">
        <f aca="false">D9+E9</f>
        <v>3000</v>
      </c>
      <c r="G9" s="59" t="s">
        <v>41</v>
      </c>
    </row>
    <row r="10" customFormat="false" ht="15.75" hidden="false" customHeight="false" outlineLevel="0" collapsed="false">
      <c r="A10" s="51" t="s">
        <v>38</v>
      </c>
      <c r="B10" s="62" t="s">
        <v>18</v>
      </c>
      <c r="C10" s="54" t="s">
        <v>58</v>
      </c>
      <c r="D10" s="55" t="n">
        <v>0</v>
      </c>
      <c r="E10" s="55" t="n">
        <v>7000</v>
      </c>
      <c r="F10" s="55" t="n">
        <f aca="false">D10+E10</f>
        <v>7000</v>
      </c>
      <c r="G10" s="54" t="s">
        <v>41</v>
      </c>
    </row>
    <row r="11" customFormat="false" ht="15.75" hidden="false" customHeight="false" outlineLevel="0" collapsed="false">
      <c r="A11" s="60" t="s">
        <v>38</v>
      </c>
      <c r="B11" s="53" t="s">
        <v>59</v>
      </c>
      <c r="C11" s="59" t="s">
        <v>60</v>
      </c>
      <c r="D11" s="58" t="n">
        <v>0</v>
      </c>
      <c r="E11" s="58" t="n">
        <v>10000</v>
      </c>
      <c r="F11" s="58" t="n">
        <f aca="false">D11+E11</f>
        <v>10000</v>
      </c>
      <c r="G11" s="59" t="s">
        <v>41</v>
      </c>
    </row>
    <row r="12" customFormat="false" ht="15.75" hidden="false" customHeight="false" outlineLevel="0" collapsed="false">
      <c r="A12" s="60" t="s">
        <v>38</v>
      </c>
      <c r="B12" s="53" t="s">
        <v>61</v>
      </c>
      <c r="C12" s="54" t="s">
        <v>62</v>
      </c>
      <c r="D12" s="55" t="n">
        <v>0</v>
      </c>
      <c r="E12" s="55" t="n">
        <v>5000</v>
      </c>
      <c r="F12" s="55" t="n">
        <f aca="false">D12+E12</f>
        <v>5000</v>
      </c>
      <c r="G12" s="54" t="s">
        <v>41</v>
      </c>
    </row>
    <row r="13" customFormat="false" ht="15.75" hidden="false" customHeight="false" outlineLevel="0" collapsed="false">
      <c r="A13" s="60" t="s">
        <v>63</v>
      </c>
      <c r="B13" s="53" t="s">
        <v>64</v>
      </c>
      <c r="C13" s="59" t="s">
        <v>65</v>
      </c>
      <c r="D13" s="58" t="n">
        <v>0</v>
      </c>
      <c r="E13" s="58" t="n">
        <v>4000</v>
      </c>
      <c r="F13" s="58" t="n">
        <f aca="false">D13+E13</f>
        <v>4000</v>
      </c>
      <c r="G13" s="59" t="s">
        <v>41</v>
      </c>
    </row>
    <row r="14" customFormat="false" ht="15.75" hidden="false" customHeight="false" outlineLevel="0" collapsed="false">
      <c r="A14" s="60" t="s">
        <v>66</v>
      </c>
      <c r="B14" s="53" t="s">
        <v>67</v>
      </c>
      <c r="C14" s="54" t="s">
        <v>68</v>
      </c>
      <c r="D14" s="55" t="n">
        <v>0</v>
      </c>
      <c r="E14" s="55" t="n">
        <v>2000</v>
      </c>
      <c r="F14" s="55" t="n">
        <f aca="false">D14+E14</f>
        <v>2000</v>
      </c>
      <c r="G14" s="54" t="s">
        <v>69</v>
      </c>
    </row>
    <row r="15" customFormat="false" ht="15.75" hidden="false" customHeight="false" outlineLevel="0" collapsed="false">
      <c r="A15" s="60" t="s">
        <v>66</v>
      </c>
      <c r="B15" s="53" t="s">
        <v>70</v>
      </c>
      <c r="C15" s="59" t="s">
        <v>71</v>
      </c>
      <c r="D15" s="58" t="n">
        <v>0</v>
      </c>
      <c r="E15" s="58" t="n">
        <v>1500</v>
      </c>
      <c r="F15" s="58" t="n">
        <f aca="false">D15+E15</f>
        <v>1500</v>
      </c>
      <c r="G15" s="59" t="s">
        <v>69</v>
      </c>
    </row>
    <row r="16" customFormat="false" ht="15.75" hidden="false" customHeight="false" outlineLevel="0" collapsed="false">
      <c r="A16" s="60" t="s">
        <v>66</v>
      </c>
      <c r="B16" s="53" t="s">
        <v>72</v>
      </c>
      <c r="C16" s="54" t="s">
        <v>73</v>
      </c>
      <c r="D16" s="55" t="n">
        <v>0</v>
      </c>
      <c r="E16" s="55" t="n">
        <v>3000</v>
      </c>
      <c r="F16" s="55" t="n">
        <f aca="false">D16+E16</f>
        <v>3000</v>
      </c>
      <c r="G16" s="54" t="s">
        <v>69</v>
      </c>
    </row>
    <row r="17" customFormat="false" ht="15.75" hidden="false" customHeight="false" outlineLevel="0" collapsed="false">
      <c r="A17" s="63" t="s">
        <v>74</v>
      </c>
      <c r="B17" s="63"/>
      <c r="C17" s="63"/>
      <c r="D17" s="58" t="n">
        <f aca="false">SUM(D2:D16)</f>
        <v>65000</v>
      </c>
      <c r="E17" s="58" t="n">
        <f aca="false">SUM(E2:E16)</f>
        <v>62500</v>
      </c>
      <c r="F17" s="58" t="n">
        <f aca="false">SUM(F2:F16)</f>
        <v>127500</v>
      </c>
      <c r="G17" s="59"/>
    </row>
    <row r="18" customFormat="false" ht="15.75" hidden="false" customHeight="false" outlineLevel="0" collapsed="false">
      <c r="A18" s="60"/>
      <c r="B18" s="60"/>
      <c r="C18" s="60"/>
      <c r="D18" s="60"/>
      <c r="E18" s="60"/>
      <c r="F18" s="60"/>
      <c r="G18" s="60"/>
    </row>
    <row r="19" customFormat="false" ht="15.75" hidden="false" customHeight="false" outlineLevel="0" collapsed="false">
      <c r="B19" s="60"/>
    </row>
    <row r="20" customFormat="false" ht="15.75" hidden="false" customHeight="false" outlineLevel="0" collapsed="false">
      <c r="B20" s="60"/>
    </row>
    <row r="21" customFormat="false" ht="15.75" hidden="false" customHeight="false" outlineLevel="0" collapsed="false">
      <c r="B21" s="60"/>
    </row>
    <row r="22" customFormat="false" ht="15.75" hidden="false" customHeight="false" outlineLevel="0" collapsed="false">
      <c r="B22" s="60"/>
    </row>
    <row r="23" customFormat="false" ht="15.75" hidden="false" customHeight="false" outlineLevel="0" collapsed="false">
      <c r="B23" s="60"/>
    </row>
    <row r="24" customFormat="false" ht="15.75" hidden="false" customHeight="false" outlineLevel="0" collapsed="false">
      <c r="B24" s="60"/>
    </row>
    <row r="25" customFormat="false" ht="15.75" hidden="false" customHeight="false" outlineLevel="0" collapsed="false">
      <c r="B25" s="60"/>
    </row>
    <row r="26" customFormat="false" ht="15.75" hidden="false" customHeight="false" outlineLevel="0" collapsed="false">
      <c r="B26" s="60"/>
    </row>
    <row r="27" customFormat="false" ht="15.75" hidden="false" customHeight="false" outlineLevel="0" collapsed="false">
      <c r="B27" s="60"/>
    </row>
    <row r="28" customFormat="false" ht="15.75" hidden="false" customHeight="false" outlineLevel="0" collapsed="false">
      <c r="B28" s="60"/>
    </row>
    <row r="29" customFormat="false" ht="15.75" hidden="false" customHeight="false" outlineLevel="0" collapsed="false">
      <c r="B29" s="60"/>
    </row>
    <row r="30" customFormat="false" ht="15.75" hidden="false" customHeight="false" outlineLevel="0" collapsed="false">
      <c r="B30" s="60"/>
    </row>
    <row r="31" customFormat="false" ht="15.75" hidden="false" customHeight="false" outlineLevel="0" collapsed="false">
      <c r="B31" s="60"/>
    </row>
    <row r="32" customFormat="false" ht="15.75" hidden="false" customHeight="false" outlineLevel="0" collapsed="false">
      <c r="B32" s="60"/>
    </row>
    <row r="33" customFormat="false" ht="15.75" hidden="false" customHeight="false" outlineLevel="0" collapsed="false">
      <c r="B33" s="60"/>
    </row>
    <row r="34" customFormat="false" ht="15.75" hidden="false" customHeight="false" outlineLevel="0" collapsed="false">
      <c r="B34" s="60"/>
    </row>
    <row r="35" customFormat="false" ht="15.75" hidden="false" customHeight="false" outlineLevel="0" collapsed="false">
      <c r="B35" s="60"/>
    </row>
    <row r="36" customFormat="false" ht="15.75" hidden="false" customHeight="false" outlineLevel="0" collapsed="false">
      <c r="B36" s="60"/>
    </row>
    <row r="37" customFormat="false" ht="15.75" hidden="false" customHeight="false" outlineLevel="0" collapsed="false">
      <c r="B37" s="60"/>
    </row>
    <row r="38" customFormat="false" ht="15.75" hidden="false" customHeight="false" outlineLevel="0" collapsed="false">
      <c r="B38" s="60"/>
    </row>
    <row r="39" customFormat="false" ht="15.75" hidden="false" customHeight="false" outlineLevel="0" collapsed="false">
      <c r="B39" s="60"/>
    </row>
    <row r="40" customFormat="false" ht="15.75" hidden="false" customHeight="false" outlineLevel="0" collapsed="false">
      <c r="B40" s="60"/>
    </row>
    <row r="41" customFormat="false" ht="15.75" hidden="false" customHeight="false" outlineLevel="0" collapsed="false">
      <c r="B41" s="60"/>
    </row>
    <row r="42" customFormat="false" ht="15.75" hidden="false" customHeight="false" outlineLevel="0" collapsed="false">
      <c r="B42" s="60"/>
    </row>
    <row r="43" customFormat="false" ht="15.75" hidden="false" customHeight="false" outlineLevel="0" collapsed="false">
      <c r="B43" s="60"/>
    </row>
    <row r="44" customFormat="false" ht="15.75" hidden="false" customHeight="false" outlineLevel="0" collapsed="false">
      <c r="B44" s="60"/>
    </row>
    <row r="45" customFormat="false" ht="15.75" hidden="false" customHeight="false" outlineLevel="0" collapsed="false">
      <c r="B45" s="60"/>
    </row>
    <row r="46" customFormat="false" ht="15.75" hidden="false" customHeight="false" outlineLevel="0" collapsed="false">
      <c r="B46" s="60"/>
    </row>
    <row r="47" customFormat="false" ht="15.75" hidden="false" customHeight="false" outlineLevel="0" collapsed="false">
      <c r="B47" s="60"/>
    </row>
    <row r="48" customFormat="false" ht="15.75" hidden="false" customHeight="false" outlineLevel="0" collapsed="false">
      <c r="B48" s="60"/>
    </row>
    <row r="49" customFormat="false" ht="15.75" hidden="false" customHeight="false" outlineLevel="0" collapsed="false">
      <c r="B49" s="60"/>
    </row>
    <row r="50" customFormat="false" ht="15.75" hidden="false" customHeight="false" outlineLevel="0" collapsed="false">
      <c r="B50" s="60"/>
    </row>
    <row r="51" customFormat="false" ht="15.75" hidden="false" customHeight="false" outlineLevel="0" collapsed="false">
      <c r="B51" s="60"/>
    </row>
    <row r="52" customFormat="false" ht="15.75" hidden="false" customHeight="false" outlineLevel="0" collapsed="false">
      <c r="B52" s="60"/>
    </row>
    <row r="53" customFormat="false" ht="15.75" hidden="false" customHeight="false" outlineLevel="0" collapsed="false">
      <c r="B53" s="60"/>
    </row>
    <row r="54" customFormat="false" ht="15.75" hidden="false" customHeight="false" outlineLevel="0" collapsed="false">
      <c r="B54" s="60"/>
    </row>
    <row r="55" customFormat="false" ht="15.75" hidden="false" customHeight="false" outlineLevel="0" collapsed="false">
      <c r="B55" s="60"/>
    </row>
    <row r="56" customFormat="false" ht="15.75" hidden="false" customHeight="false" outlineLevel="0" collapsed="false">
      <c r="B56" s="60"/>
    </row>
    <row r="57" customFormat="false" ht="15.75" hidden="false" customHeight="false" outlineLevel="0" collapsed="false">
      <c r="B57" s="60"/>
    </row>
    <row r="58" customFormat="false" ht="15.75" hidden="false" customHeight="false" outlineLevel="0" collapsed="false">
      <c r="B58" s="60"/>
    </row>
    <row r="59" customFormat="false" ht="15.75" hidden="false" customHeight="false" outlineLevel="0" collapsed="false">
      <c r="B59" s="60"/>
    </row>
    <row r="60" customFormat="false" ht="15.75" hidden="false" customHeight="false" outlineLevel="0" collapsed="false">
      <c r="B60" s="60"/>
    </row>
    <row r="61" customFormat="false" ht="15.75" hidden="false" customHeight="false" outlineLevel="0" collapsed="false">
      <c r="B61" s="60"/>
    </row>
    <row r="62" customFormat="false" ht="15.75" hidden="false" customHeight="false" outlineLevel="0" collapsed="false">
      <c r="B62" s="60"/>
    </row>
    <row r="63" customFormat="false" ht="15.75" hidden="false" customHeight="false" outlineLevel="0" collapsed="false">
      <c r="B63" s="60"/>
    </row>
    <row r="64" customFormat="false" ht="15.75" hidden="false" customHeight="false" outlineLevel="0" collapsed="false">
      <c r="B64" s="60"/>
    </row>
    <row r="65" customFormat="false" ht="15.75" hidden="false" customHeight="false" outlineLevel="0" collapsed="false">
      <c r="B65" s="60"/>
    </row>
    <row r="66" customFormat="false" ht="15.75" hidden="false" customHeight="false" outlineLevel="0" collapsed="false">
      <c r="B66" s="60"/>
    </row>
    <row r="67" customFormat="false" ht="15.75" hidden="false" customHeight="false" outlineLevel="0" collapsed="false">
      <c r="B67" s="60"/>
    </row>
    <row r="68" customFormat="false" ht="15.75" hidden="false" customHeight="false" outlineLevel="0" collapsed="false">
      <c r="B68" s="60"/>
    </row>
    <row r="69" customFormat="false" ht="15.75" hidden="false" customHeight="false" outlineLevel="0" collapsed="false">
      <c r="B69" s="60"/>
    </row>
    <row r="70" customFormat="false" ht="15.75" hidden="false" customHeight="false" outlineLevel="0" collapsed="false">
      <c r="B70" s="60"/>
    </row>
    <row r="71" customFormat="false" ht="15.75" hidden="false" customHeight="false" outlineLevel="0" collapsed="false">
      <c r="B71" s="60"/>
    </row>
    <row r="72" customFormat="false" ht="15.75" hidden="false" customHeight="false" outlineLevel="0" collapsed="false">
      <c r="B72" s="60"/>
    </row>
    <row r="73" customFormat="false" ht="15.75" hidden="false" customHeight="false" outlineLevel="0" collapsed="false">
      <c r="B73" s="60"/>
    </row>
    <row r="74" customFormat="false" ht="15.75" hidden="false" customHeight="false" outlineLevel="0" collapsed="false">
      <c r="B74" s="60"/>
    </row>
    <row r="75" customFormat="false" ht="15.75" hidden="false" customHeight="false" outlineLevel="0" collapsed="false">
      <c r="B75" s="60"/>
    </row>
    <row r="76" customFormat="false" ht="15.75" hidden="false" customHeight="false" outlineLevel="0" collapsed="false">
      <c r="B76" s="60"/>
    </row>
    <row r="77" customFormat="false" ht="15.75" hidden="false" customHeight="false" outlineLevel="0" collapsed="false">
      <c r="B77" s="60"/>
    </row>
    <row r="78" customFormat="false" ht="15.75" hidden="false" customHeight="false" outlineLevel="0" collapsed="false">
      <c r="B78" s="60"/>
    </row>
    <row r="79" customFormat="false" ht="15.75" hidden="false" customHeight="false" outlineLevel="0" collapsed="false">
      <c r="B79" s="60"/>
    </row>
    <row r="80" customFormat="false" ht="15.75" hidden="false" customHeight="false" outlineLevel="0" collapsed="false">
      <c r="B80" s="60"/>
    </row>
    <row r="81" customFormat="false" ht="15.75" hidden="false" customHeight="false" outlineLevel="0" collapsed="false">
      <c r="B81" s="60"/>
    </row>
    <row r="82" customFormat="false" ht="15.75" hidden="false" customHeight="false" outlineLevel="0" collapsed="false">
      <c r="B82" s="60"/>
    </row>
    <row r="83" customFormat="false" ht="15.75" hidden="false" customHeight="false" outlineLevel="0" collapsed="false">
      <c r="B83" s="60"/>
    </row>
    <row r="84" customFormat="false" ht="15.75" hidden="false" customHeight="false" outlineLevel="0" collapsed="false">
      <c r="B84" s="60"/>
    </row>
    <row r="85" customFormat="false" ht="15.75" hidden="false" customHeight="false" outlineLevel="0" collapsed="false">
      <c r="B85" s="60"/>
    </row>
    <row r="86" customFormat="false" ht="15.75" hidden="false" customHeight="false" outlineLevel="0" collapsed="false">
      <c r="B86" s="60"/>
    </row>
    <row r="87" customFormat="false" ht="15.75" hidden="false" customHeight="false" outlineLevel="0" collapsed="false">
      <c r="B87" s="60"/>
    </row>
    <row r="88" customFormat="false" ht="15.75" hidden="false" customHeight="false" outlineLevel="0" collapsed="false">
      <c r="B88" s="60"/>
    </row>
    <row r="89" customFormat="false" ht="15.75" hidden="false" customHeight="false" outlineLevel="0" collapsed="false">
      <c r="B89" s="60"/>
    </row>
    <row r="90" customFormat="false" ht="15.75" hidden="false" customHeight="false" outlineLevel="0" collapsed="false">
      <c r="B90" s="60"/>
    </row>
    <row r="91" customFormat="false" ht="15.75" hidden="false" customHeight="false" outlineLevel="0" collapsed="false">
      <c r="B91" s="60"/>
    </row>
    <row r="92" customFormat="false" ht="15.75" hidden="false" customHeight="false" outlineLevel="0" collapsed="false">
      <c r="B92" s="60"/>
    </row>
    <row r="93" customFormat="false" ht="15.75" hidden="false" customHeight="false" outlineLevel="0" collapsed="false">
      <c r="B93" s="60"/>
    </row>
    <row r="94" customFormat="false" ht="15.75" hidden="false" customHeight="false" outlineLevel="0" collapsed="false">
      <c r="B94" s="60"/>
    </row>
    <row r="95" customFormat="false" ht="15.75" hidden="false" customHeight="false" outlineLevel="0" collapsed="false">
      <c r="B95" s="60"/>
    </row>
    <row r="96" customFormat="false" ht="15.75" hidden="false" customHeight="false" outlineLevel="0" collapsed="false">
      <c r="B96" s="60"/>
    </row>
    <row r="97" customFormat="false" ht="15.75" hidden="false" customHeight="false" outlineLevel="0" collapsed="false">
      <c r="B97" s="60"/>
    </row>
    <row r="98" customFormat="false" ht="15.75" hidden="false" customHeight="false" outlineLevel="0" collapsed="false">
      <c r="B98" s="60"/>
    </row>
    <row r="99" customFormat="false" ht="15.75" hidden="false" customHeight="false" outlineLevel="0" collapsed="false">
      <c r="B99" s="60"/>
    </row>
    <row r="100" customFormat="false" ht="15.75" hidden="false" customHeight="false" outlineLevel="0" collapsed="false">
      <c r="B100" s="60"/>
    </row>
    <row r="101" customFormat="false" ht="15.75" hidden="false" customHeight="false" outlineLevel="0" collapsed="false">
      <c r="B101" s="60"/>
    </row>
    <row r="102" customFormat="false" ht="15.75" hidden="false" customHeight="false" outlineLevel="0" collapsed="false">
      <c r="B102" s="60"/>
    </row>
    <row r="103" customFormat="false" ht="15.75" hidden="false" customHeight="false" outlineLevel="0" collapsed="false">
      <c r="B103" s="60"/>
    </row>
    <row r="104" customFormat="false" ht="15.75" hidden="false" customHeight="false" outlineLevel="0" collapsed="false">
      <c r="B104" s="60"/>
    </row>
    <row r="105" customFormat="false" ht="15.75" hidden="false" customHeight="false" outlineLevel="0" collapsed="false">
      <c r="B105" s="60"/>
    </row>
    <row r="106" customFormat="false" ht="15.75" hidden="false" customHeight="false" outlineLevel="0" collapsed="false">
      <c r="B106" s="60"/>
    </row>
    <row r="107" customFormat="false" ht="15.75" hidden="false" customHeight="false" outlineLevel="0" collapsed="false">
      <c r="B107" s="60"/>
    </row>
    <row r="108" customFormat="false" ht="15.75" hidden="false" customHeight="false" outlineLevel="0" collapsed="false">
      <c r="B108" s="60"/>
    </row>
    <row r="109" customFormat="false" ht="15.75" hidden="false" customHeight="false" outlineLevel="0" collapsed="false">
      <c r="B109" s="60"/>
    </row>
    <row r="110" customFormat="false" ht="15.75" hidden="false" customHeight="false" outlineLevel="0" collapsed="false">
      <c r="B110" s="60"/>
    </row>
    <row r="111" customFormat="false" ht="15.75" hidden="false" customHeight="false" outlineLevel="0" collapsed="false">
      <c r="B111" s="60"/>
    </row>
    <row r="112" customFormat="false" ht="15.75" hidden="false" customHeight="false" outlineLevel="0" collapsed="false">
      <c r="B112" s="60"/>
    </row>
    <row r="113" customFormat="false" ht="15.75" hidden="false" customHeight="false" outlineLevel="0" collapsed="false">
      <c r="B113" s="60"/>
    </row>
    <row r="114" customFormat="false" ht="15.75" hidden="false" customHeight="false" outlineLevel="0" collapsed="false">
      <c r="B114" s="60"/>
    </row>
    <row r="115" customFormat="false" ht="15.75" hidden="false" customHeight="false" outlineLevel="0" collapsed="false">
      <c r="B115" s="60"/>
    </row>
    <row r="116" customFormat="false" ht="15.75" hidden="false" customHeight="false" outlineLevel="0" collapsed="false">
      <c r="B116" s="60"/>
    </row>
    <row r="117" customFormat="false" ht="15.75" hidden="false" customHeight="false" outlineLevel="0" collapsed="false">
      <c r="B117" s="60"/>
    </row>
    <row r="118" customFormat="false" ht="15.75" hidden="false" customHeight="false" outlineLevel="0" collapsed="false">
      <c r="B118" s="60"/>
    </row>
    <row r="119" customFormat="false" ht="15.75" hidden="false" customHeight="false" outlineLevel="0" collapsed="false">
      <c r="B119" s="60"/>
    </row>
    <row r="120" customFormat="false" ht="15.75" hidden="false" customHeight="false" outlineLevel="0" collapsed="false">
      <c r="B120" s="60"/>
    </row>
    <row r="121" customFormat="false" ht="15.75" hidden="false" customHeight="false" outlineLevel="0" collapsed="false">
      <c r="B121" s="60"/>
    </row>
    <row r="122" customFormat="false" ht="15.75" hidden="false" customHeight="false" outlineLevel="0" collapsed="false">
      <c r="B122" s="60"/>
    </row>
    <row r="123" customFormat="false" ht="15.75" hidden="false" customHeight="false" outlineLevel="0" collapsed="false">
      <c r="B123" s="60"/>
    </row>
    <row r="124" customFormat="false" ht="15.75" hidden="false" customHeight="false" outlineLevel="0" collapsed="false">
      <c r="B124" s="60"/>
    </row>
    <row r="125" customFormat="false" ht="15.75" hidden="false" customHeight="false" outlineLevel="0" collapsed="false">
      <c r="B125" s="60"/>
    </row>
    <row r="126" customFormat="false" ht="15.75" hidden="false" customHeight="false" outlineLevel="0" collapsed="false">
      <c r="B126" s="60"/>
    </row>
    <row r="127" customFormat="false" ht="15.75" hidden="false" customHeight="false" outlineLevel="0" collapsed="false">
      <c r="B127" s="60"/>
    </row>
    <row r="128" customFormat="false" ht="15.75" hidden="false" customHeight="false" outlineLevel="0" collapsed="false">
      <c r="B128" s="60"/>
    </row>
    <row r="129" customFormat="false" ht="15.75" hidden="false" customHeight="false" outlineLevel="0" collapsed="false">
      <c r="B129" s="60"/>
    </row>
    <row r="130" customFormat="false" ht="15.75" hidden="false" customHeight="false" outlineLevel="0" collapsed="false">
      <c r="B130" s="60"/>
    </row>
    <row r="131" customFormat="false" ht="15.75" hidden="false" customHeight="false" outlineLevel="0" collapsed="false">
      <c r="B131" s="60"/>
    </row>
    <row r="132" customFormat="false" ht="15.75" hidden="false" customHeight="false" outlineLevel="0" collapsed="false">
      <c r="B132" s="60"/>
    </row>
    <row r="133" customFormat="false" ht="15.75" hidden="false" customHeight="false" outlineLevel="0" collapsed="false">
      <c r="B133" s="60"/>
    </row>
    <row r="134" customFormat="false" ht="15.75" hidden="false" customHeight="false" outlineLevel="0" collapsed="false">
      <c r="B134" s="60"/>
    </row>
    <row r="135" customFormat="false" ht="15.75" hidden="false" customHeight="false" outlineLevel="0" collapsed="false">
      <c r="B135" s="60"/>
    </row>
    <row r="136" customFormat="false" ht="15.75" hidden="false" customHeight="false" outlineLevel="0" collapsed="false">
      <c r="B136" s="60"/>
    </row>
    <row r="137" customFormat="false" ht="15.75" hidden="false" customHeight="false" outlineLevel="0" collapsed="false">
      <c r="B137" s="60"/>
    </row>
    <row r="138" customFormat="false" ht="15.75" hidden="false" customHeight="false" outlineLevel="0" collapsed="false">
      <c r="B138" s="60"/>
    </row>
    <row r="139" customFormat="false" ht="15.75" hidden="false" customHeight="false" outlineLevel="0" collapsed="false">
      <c r="B139" s="60"/>
    </row>
    <row r="140" customFormat="false" ht="15.75" hidden="false" customHeight="false" outlineLevel="0" collapsed="false">
      <c r="B140" s="60"/>
    </row>
    <row r="141" customFormat="false" ht="15.75" hidden="false" customHeight="false" outlineLevel="0" collapsed="false">
      <c r="B141" s="60"/>
    </row>
    <row r="142" customFormat="false" ht="15.75" hidden="false" customHeight="false" outlineLevel="0" collapsed="false">
      <c r="B142" s="60"/>
    </row>
    <row r="143" customFormat="false" ht="15.75" hidden="false" customHeight="false" outlineLevel="0" collapsed="false">
      <c r="B143" s="60"/>
    </row>
    <row r="144" customFormat="false" ht="15.75" hidden="false" customHeight="false" outlineLevel="0" collapsed="false">
      <c r="B144" s="60"/>
    </row>
    <row r="145" customFormat="false" ht="15.75" hidden="false" customHeight="false" outlineLevel="0" collapsed="false">
      <c r="B145" s="60"/>
    </row>
    <row r="146" customFormat="false" ht="15.75" hidden="false" customHeight="false" outlineLevel="0" collapsed="false">
      <c r="B146" s="60"/>
    </row>
    <row r="147" customFormat="false" ht="15.75" hidden="false" customHeight="false" outlineLevel="0" collapsed="false">
      <c r="B147" s="60"/>
    </row>
    <row r="148" customFormat="false" ht="15.75" hidden="false" customHeight="false" outlineLevel="0" collapsed="false">
      <c r="B148" s="60"/>
    </row>
    <row r="149" customFormat="false" ht="15.75" hidden="false" customHeight="false" outlineLevel="0" collapsed="false">
      <c r="B149" s="60"/>
    </row>
    <row r="150" customFormat="false" ht="15.75" hidden="false" customHeight="false" outlineLevel="0" collapsed="false">
      <c r="B150" s="60"/>
    </row>
    <row r="151" customFormat="false" ht="15.75" hidden="false" customHeight="false" outlineLevel="0" collapsed="false">
      <c r="B151" s="60"/>
    </row>
    <row r="152" customFormat="false" ht="15.75" hidden="false" customHeight="false" outlineLevel="0" collapsed="false">
      <c r="B152" s="60"/>
    </row>
    <row r="153" customFormat="false" ht="15.75" hidden="false" customHeight="false" outlineLevel="0" collapsed="false">
      <c r="B153" s="60"/>
    </row>
    <row r="154" customFormat="false" ht="15.75" hidden="false" customHeight="false" outlineLevel="0" collapsed="false">
      <c r="B154" s="60"/>
    </row>
    <row r="155" customFormat="false" ht="15.75" hidden="false" customHeight="false" outlineLevel="0" collapsed="false">
      <c r="B155" s="60"/>
    </row>
    <row r="156" customFormat="false" ht="15.75" hidden="false" customHeight="false" outlineLevel="0" collapsed="false">
      <c r="B156" s="60"/>
    </row>
    <row r="157" customFormat="false" ht="15.75" hidden="false" customHeight="false" outlineLevel="0" collapsed="false">
      <c r="B157" s="60"/>
    </row>
    <row r="158" customFormat="false" ht="15.75" hidden="false" customHeight="false" outlineLevel="0" collapsed="false">
      <c r="B158" s="60"/>
    </row>
    <row r="159" customFormat="false" ht="15.75" hidden="false" customHeight="false" outlineLevel="0" collapsed="false">
      <c r="B159" s="60"/>
    </row>
    <row r="160" customFormat="false" ht="15.75" hidden="false" customHeight="false" outlineLevel="0" collapsed="false">
      <c r="B160" s="60"/>
    </row>
    <row r="161" customFormat="false" ht="15.75" hidden="false" customHeight="false" outlineLevel="0" collapsed="false">
      <c r="B161" s="60"/>
    </row>
    <row r="162" customFormat="false" ht="15.75" hidden="false" customHeight="false" outlineLevel="0" collapsed="false">
      <c r="B162" s="60"/>
    </row>
    <row r="163" customFormat="false" ht="15.75" hidden="false" customHeight="false" outlineLevel="0" collapsed="false">
      <c r="B163" s="60"/>
    </row>
    <row r="164" customFormat="false" ht="15.75" hidden="false" customHeight="false" outlineLevel="0" collapsed="false">
      <c r="B164" s="60"/>
    </row>
    <row r="165" customFormat="false" ht="15.75" hidden="false" customHeight="false" outlineLevel="0" collapsed="false">
      <c r="B165" s="60"/>
    </row>
    <row r="166" customFormat="false" ht="15.75" hidden="false" customHeight="false" outlineLevel="0" collapsed="false">
      <c r="B166" s="60"/>
    </row>
    <row r="167" customFormat="false" ht="15.75" hidden="false" customHeight="false" outlineLevel="0" collapsed="false">
      <c r="B167" s="60"/>
    </row>
    <row r="168" customFormat="false" ht="15.75" hidden="false" customHeight="false" outlineLevel="0" collapsed="false">
      <c r="B168" s="60"/>
    </row>
    <row r="169" customFormat="false" ht="15.75" hidden="false" customHeight="false" outlineLevel="0" collapsed="false">
      <c r="B169" s="60"/>
    </row>
    <row r="170" customFormat="false" ht="15.75" hidden="false" customHeight="false" outlineLevel="0" collapsed="false">
      <c r="B170" s="60"/>
    </row>
    <row r="171" customFormat="false" ht="15.75" hidden="false" customHeight="false" outlineLevel="0" collapsed="false">
      <c r="B171" s="60"/>
    </row>
    <row r="172" customFormat="false" ht="15.75" hidden="false" customHeight="false" outlineLevel="0" collapsed="false">
      <c r="B172" s="60"/>
    </row>
    <row r="173" customFormat="false" ht="15.75" hidden="false" customHeight="false" outlineLevel="0" collapsed="false">
      <c r="B173" s="60"/>
    </row>
    <row r="174" customFormat="false" ht="15.75" hidden="false" customHeight="false" outlineLevel="0" collapsed="false">
      <c r="B174" s="60"/>
    </row>
    <row r="175" customFormat="false" ht="15.75" hidden="false" customHeight="false" outlineLevel="0" collapsed="false">
      <c r="B175" s="60"/>
    </row>
    <row r="176" customFormat="false" ht="15.75" hidden="false" customHeight="false" outlineLevel="0" collapsed="false">
      <c r="B176" s="60"/>
    </row>
    <row r="177" customFormat="false" ht="15.75" hidden="false" customHeight="false" outlineLevel="0" collapsed="false">
      <c r="B177" s="60"/>
    </row>
    <row r="178" customFormat="false" ht="15.75" hidden="false" customHeight="false" outlineLevel="0" collapsed="false">
      <c r="B178" s="60"/>
    </row>
    <row r="179" customFormat="false" ht="15.75" hidden="false" customHeight="false" outlineLevel="0" collapsed="false">
      <c r="B179" s="60"/>
    </row>
    <row r="180" customFormat="false" ht="15.75" hidden="false" customHeight="false" outlineLevel="0" collapsed="false">
      <c r="B180" s="60"/>
    </row>
    <row r="181" customFormat="false" ht="15.75" hidden="false" customHeight="false" outlineLevel="0" collapsed="false">
      <c r="B181" s="60"/>
    </row>
    <row r="182" customFormat="false" ht="15.75" hidden="false" customHeight="false" outlineLevel="0" collapsed="false">
      <c r="B182" s="60"/>
    </row>
    <row r="183" customFormat="false" ht="15.75" hidden="false" customHeight="false" outlineLevel="0" collapsed="false">
      <c r="B183" s="60"/>
    </row>
    <row r="184" customFormat="false" ht="15.75" hidden="false" customHeight="false" outlineLevel="0" collapsed="false">
      <c r="B184" s="60"/>
    </row>
    <row r="185" customFormat="false" ht="15.75" hidden="false" customHeight="false" outlineLevel="0" collapsed="false">
      <c r="B185" s="60"/>
    </row>
    <row r="186" customFormat="false" ht="15.75" hidden="false" customHeight="false" outlineLevel="0" collapsed="false">
      <c r="B186" s="60"/>
    </row>
    <row r="187" customFormat="false" ht="15.75" hidden="false" customHeight="false" outlineLevel="0" collapsed="false">
      <c r="B187" s="60"/>
    </row>
    <row r="188" customFormat="false" ht="15.75" hidden="false" customHeight="false" outlineLevel="0" collapsed="false">
      <c r="B188" s="60"/>
    </row>
    <row r="189" customFormat="false" ht="15.75" hidden="false" customHeight="false" outlineLevel="0" collapsed="false">
      <c r="B189" s="60"/>
    </row>
    <row r="190" customFormat="false" ht="15.75" hidden="false" customHeight="false" outlineLevel="0" collapsed="false">
      <c r="B190" s="60"/>
    </row>
    <row r="191" customFormat="false" ht="15.75" hidden="false" customHeight="false" outlineLevel="0" collapsed="false">
      <c r="B191" s="60"/>
    </row>
    <row r="192" customFormat="false" ht="15.75" hidden="false" customHeight="false" outlineLevel="0" collapsed="false">
      <c r="B192" s="60"/>
    </row>
    <row r="193" customFormat="false" ht="15.75" hidden="false" customHeight="false" outlineLevel="0" collapsed="false">
      <c r="B193" s="60"/>
    </row>
    <row r="194" customFormat="false" ht="15.75" hidden="false" customHeight="false" outlineLevel="0" collapsed="false">
      <c r="B194" s="60"/>
    </row>
    <row r="195" customFormat="false" ht="15.75" hidden="false" customHeight="false" outlineLevel="0" collapsed="false">
      <c r="B195" s="60"/>
    </row>
    <row r="196" customFormat="false" ht="15.75" hidden="false" customHeight="false" outlineLevel="0" collapsed="false">
      <c r="B196" s="60"/>
    </row>
    <row r="197" customFormat="false" ht="15.75" hidden="false" customHeight="false" outlineLevel="0" collapsed="false">
      <c r="B197" s="60"/>
    </row>
    <row r="198" customFormat="false" ht="15.75" hidden="false" customHeight="false" outlineLevel="0" collapsed="false">
      <c r="B198" s="60"/>
    </row>
    <row r="199" customFormat="false" ht="15.75" hidden="false" customHeight="false" outlineLevel="0" collapsed="false">
      <c r="B199" s="60"/>
    </row>
    <row r="200" customFormat="false" ht="15.75" hidden="false" customHeight="false" outlineLevel="0" collapsed="false">
      <c r="B200" s="60"/>
    </row>
    <row r="201" customFormat="false" ht="15.75" hidden="false" customHeight="false" outlineLevel="0" collapsed="false">
      <c r="B201" s="60"/>
    </row>
    <row r="202" customFormat="false" ht="15.75" hidden="false" customHeight="false" outlineLevel="0" collapsed="false">
      <c r="B202" s="60"/>
    </row>
    <row r="203" customFormat="false" ht="15.75" hidden="false" customHeight="false" outlineLevel="0" collapsed="false">
      <c r="B203" s="60"/>
    </row>
    <row r="204" customFormat="false" ht="15.75" hidden="false" customHeight="false" outlineLevel="0" collapsed="false">
      <c r="B204" s="60"/>
    </row>
    <row r="205" customFormat="false" ht="15.75" hidden="false" customHeight="false" outlineLevel="0" collapsed="false">
      <c r="B205" s="60"/>
    </row>
    <row r="206" customFormat="false" ht="15.75" hidden="false" customHeight="false" outlineLevel="0" collapsed="false">
      <c r="B206" s="60"/>
    </row>
    <row r="207" customFormat="false" ht="15.75" hidden="false" customHeight="false" outlineLevel="0" collapsed="false">
      <c r="B207" s="60"/>
    </row>
    <row r="208" customFormat="false" ht="15.75" hidden="false" customHeight="false" outlineLevel="0" collapsed="false">
      <c r="B208" s="60"/>
    </row>
    <row r="209" customFormat="false" ht="15.75" hidden="false" customHeight="false" outlineLevel="0" collapsed="false">
      <c r="B209" s="60"/>
    </row>
    <row r="210" customFormat="false" ht="15.75" hidden="false" customHeight="false" outlineLevel="0" collapsed="false">
      <c r="B210" s="60"/>
    </row>
    <row r="211" customFormat="false" ht="15.75" hidden="false" customHeight="false" outlineLevel="0" collapsed="false">
      <c r="B211" s="60"/>
    </row>
    <row r="212" customFormat="false" ht="15.75" hidden="false" customHeight="false" outlineLevel="0" collapsed="false">
      <c r="B212" s="60"/>
    </row>
    <row r="213" customFormat="false" ht="15.75" hidden="false" customHeight="false" outlineLevel="0" collapsed="false">
      <c r="B213" s="60"/>
    </row>
    <row r="214" customFormat="false" ht="15.75" hidden="false" customHeight="false" outlineLevel="0" collapsed="false">
      <c r="B214" s="60"/>
    </row>
    <row r="215" customFormat="false" ht="15.75" hidden="false" customHeight="false" outlineLevel="0" collapsed="false">
      <c r="B215" s="60"/>
    </row>
    <row r="216" customFormat="false" ht="15.75" hidden="false" customHeight="false" outlineLevel="0" collapsed="false">
      <c r="B216" s="60"/>
    </row>
    <row r="217" customFormat="false" ht="15.75" hidden="false" customHeight="false" outlineLevel="0" collapsed="false">
      <c r="B217" s="60"/>
    </row>
    <row r="218" customFormat="false" ht="15.75" hidden="false" customHeight="false" outlineLevel="0" collapsed="false">
      <c r="B218" s="60"/>
    </row>
    <row r="219" customFormat="false" ht="15.75" hidden="false" customHeight="false" outlineLevel="0" collapsed="false">
      <c r="B219" s="60"/>
    </row>
    <row r="220" customFormat="false" ht="15.75" hidden="false" customHeight="false" outlineLevel="0" collapsed="false">
      <c r="B220" s="60"/>
    </row>
    <row r="221" customFormat="false" ht="15.75" hidden="false" customHeight="false" outlineLevel="0" collapsed="false">
      <c r="B221" s="60"/>
    </row>
    <row r="222" customFormat="false" ht="15.75" hidden="false" customHeight="false" outlineLevel="0" collapsed="false">
      <c r="B222" s="60"/>
    </row>
    <row r="223" customFormat="false" ht="15.75" hidden="false" customHeight="false" outlineLevel="0" collapsed="false">
      <c r="B223" s="60"/>
    </row>
    <row r="224" customFormat="false" ht="15.75" hidden="false" customHeight="false" outlineLevel="0" collapsed="false">
      <c r="B224" s="60"/>
    </row>
    <row r="225" customFormat="false" ht="15.75" hidden="false" customHeight="false" outlineLevel="0" collapsed="false">
      <c r="B225" s="60"/>
    </row>
    <row r="226" customFormat="false" ht="15.75" hidden="false" customHeight="false" outlineLevel="0" collapsed="false">
      <c r="B226" s="60"/>
    </row>
    <row r="227" customFormat="false" ht="15.75" hidden="false" customHeight="false" outlineLevel="0" collapsed="false">
      <c r="B227" s="60"/>
    </row>
    <row r="228" customFormat="false" ht="15.75" hidden="false" customHeight="false" outlineLevel="0" collapsed="false">
      <c r="B228" s="60"/>
    </row>
    <row r="229" customFormat="false" ht="15.75" hidden="false" customHeight="false" outlineLevel="0" collapsed="false">
      <c r="B229" s="60"/>
    </row>
    <row r="230" customFormat="false" ht="15.75" hidden="false" customHeight="false" outlineLevel="0" collapsed="false">
      <c r="B230" s="60"/>
    </row>
    <row r="231" customFormat="false" ht="15.75" hidden="false" customHeight="false" outlineLevel="0" collapsed="false">
      <c r="B231" s="60"/>
    </row>
    <row r="232" customFormat="false" ht="15.75" hidden="false" customHeight="false" outlineLevel="0" collapsed="false">
      <c r="B232" s="60"/>
    </row>
    <row r="233" customFormat="false" ht="15.75" hidden="false" customHeight="false" outlineLevel="0" collapsed="false">
      <c r="B233" s="60"/>
    </row>
    <row r="234" customFormat="false" ht="15.75" hidden="false" customHeight="false" outlineLevel="0" collapsed="false">
      <c r="B234" s="60"/>
    </row>
    <row r="235" customFormat="false" ht="15.75" hidden="false" customHeight="false" outlineLevel="0" collapsed="false">
      <c r="B235" s="60"/>
    </row>
    <row r="236" customFormat="false" ht="15.75" hidden="false" customHeight="false" outlineLevel="0" collapsed="false">
      <c r="B236" s="60"/>
    </row>
    <row r="237" customFormat="false" ht="15.75" hidden="false" customHeight="false" outlineLevel="0" collapsed="false">
      <c r="B237" s="60"/>
    </row>
    <row r="238" customFormat="false" ht="15.75" hidden="false" customHeight="false" outlineLevel="0" collapsed="false">
      <c r="B238" s="60"/>
    </row>
    <row r="239" customFormat="false" ht="15.75" hidden="false" customHeight="false" outlineLevel="0" collapsed="false">
      <c r="B239" s="60"/>
    </row>
    <row r="240" customFormat="false" ht="15.75" hidden="false" customHeight="false" outlineLevel="0" collapsed="false">
      <c r="B240" s="60"/>
    </row>
    <row r="241" customFormat="false" ht="15.75" hidden="false" customHeight="false" outlineLevel="0" collapsed="false">
      <c r="B241" s="60"/>
    </row>
    <row r="242" customFormat="false" ht="15.75" hidden="false" customHeight="false" outlineLevel="0" collapsed="false">
      <c r="B242" s="60"/>
    </row>
    <row r="243" customFormat="false" ht="15.75" hidden="false" customHeight="false" outlineLevel="0" collapsed="false">
      <c r="B243" s="60"/>
    </row>
    <row r="244" customFormat="false" ht="15.75" hidden="false" customHeight="false" outlineLevel="0" collapsed="false">
      <c r="B244" s="60"/>
    </row>
    <row r="245" customFormat="false" ht="15.75" hidden="false" customHeight="false" outlineLevel="0" collapsed="false">
      <c r="B245" s="60"/>
    </row>
    <row r="246" customFormat="false" ht="15.75" hidden="false" customHeight="false" outlineLevel="0" collapsed="false">
      <c r="B246" s="60"/>
    </row>
    <row r="247" customFormat="false" ht="15.75" hidden="false" customHeight="false" outlineLevel="0" collapsed="false">
      <c r="B247" s="60"/>
    </row>
    <row r="248" customFormat="false" ht="15.75" hidden="false" customHeight="false" outlineLevel="0" collapsed="false">
      <c r="B248" s="60"/>
    </row>
    <row r="249" customFormat="false" ht="15.75" hidden="false" customHeight="false" outlineLevel="0" collapsed="false">
      <c r="B249" s="60"/>
    </row>
    <row r="250" customFormat="false" ht="15.75" hidden="false" customHeight="false" outlineLevel="0" collapsed="false">
      <c r="B250" s="60"/>
    </row>
    <row r="251" customFormat="false" ht="15.75" hidden="false" customHeight="false" outlineLevel="0" collapsed="false">
      <c r="B251" s="60"/>
    </row>
    <row r="252" customFormat="false" ht="15.75" hidden="false" customHeight="false" outlineLevel="0" collapsed="false">
      <c r="B252" s="60"/>
    </row>
    <row r="253" customFormat="false" ht="15.75" hidden="false" customHeight="false" outlineLevel="0" collapsed="false">
      <c r="B253" s="60"/>
    </row>
    <row r="254" customFormat="false" ht="15.75" hidden="false" customHeight="false" outlineLevel="0" collapsed="false">
      <c r="B254" s="60"/>
    </row>
    <row r="255" customFormat="false" ht="15.75" hidden="false" customHeight="false" outlineLevel="0" collapsed="false">
      <c r="B255" s="60"/>
    </row>
    <row r="256" customFormat="false" ht="15.75" hidden="false" customHeight="false" outlineLevel="0" collapsed="false">
      <c r="B256" s="60"/>
    </row>
    <row r="257" customFormat="false" ht="15.75" hidden="false" customHeight="false" outlineLevel="0" collapsed="false">
      <c r="B257" s="60"/>
    </row>
    <row r="258" customFormat="false" ht="15.75" hidden="false" customHeight="false" outlineLevel="0" collapsed="false">
      <c r="B258" s="60"/>
    </row>
    <row r="259" customFormat="false" ht="15.75" hidden="false" customHeight="false" outlineLevel="0" collapsed="false">
      <c r="B259" s="60"/>
    </row>
    <row r="260" customFormat="false" ht="15.75" hidden="false" customHeight="false" outlineLevel="0" collapsed="false">
      <c r="B260" s="60"/>
    </row>
    <row r="261" customFormat="false" ht="15.75" hidden="false" customHeight="false" outlineLevel="0" collapsed="false">
      <c r="B261" s="60"/>
    </row>
    <row r="262" customFormat="false" ht="15.75" hidden="false" customHeight="false" outlineLevel="0" collapsed="false">
      <c r="B262" s="60"/>
    </row>
    <row r="263" customFormat="false" ht="15.75" hidden="false" customHeight="false" outlineLevel="0" collapsed="false">
      <c r="B263" s="60"/>
    </row>
    <row r="264" customFormat="false" ht="15.75" hidden="false" customHeight="false" outlineLevel="0" collapsed="false">
      <c r="B264" s="60"/>
    </row>
    <row r="265" customFormat="false" ht="15.75" hidden="false" customHeight="false" outlineLevel="0" collapsed="false">
      <c r="B265" s="60"/>
    </row>
    <row r="266" customFormat="false" ht="15.75" hidden="false" customHeight="false" outlineLevel="0" collapsed="false">
      <c r="B266" s="60"/>
    </row>
    <row r="267" customFormat="false" ht="15.75" hidden="false" customHeight="false" outlineLevel="0" collapsed="false">
      <c r="B267" s="60"/>
    </row>
    <row r="268" customFormat="false" ht="15.75" hidden="false" customHeight="false" outlineLevel="0" collapsed="false">
      <c r="B268" s="60"/>
    </row>
    <row r="269" customFormat="false" ht="15.75" hidden="false" customHeight="false" outlineLevel="0" collapsed="false">
      <c r="B269" s="60"/>
    </row>
    <row r="270" customFormat="false" ht="15.75" hidden="false" customHeight="false" outlineLevel="0" collapsed="false">
      <c r="B270" s="60"/>
    </row>
    <row r="271" customFormat="false" ht="15.75" hidden="false" customHeight="false" outlineLevel="0" collapsed="false">
      <c r="B271" s="60"/>
    </row>
    <row r="272" customFormat="false" ht="15.75" hidden="false" customHeight="false" outlineLevel="0" collapsed="false">
      <c r="B272" s="60"/>
    </row>
    <row r="273" customFormat="false" ht="15.75" hidden="false" customHeight="false" outlineLevel="0" collapsed="false">
      <c r="B273" s="60"/>
    </row>
    <row r="274" customFormat="false" ht="15.75" hidden="false" customHeight="false" outlineLevel="0" collapsed="false">
      <c r="B274" s="60"/>
    </row>
    <row r="275" customFormat="false" ht="15.75" hidden="false" customHeight="false" outlineLevel="0" collapsed="false">
      <c r="B275" s="60"/>
    </row>
    <row r="276" customFormat="false" ht="15.75" hidden="false" customHeight="false" outlineLevel="0" collapsed="false">
      <c r="B276" s="60"/>
    </row>
    <row r="277" customFormat="false" ht="15.75" hidden="false" customHeight="false" outlineLevel="0" collapsed="false">
      <c r="B277" s="60"/>
    </row>
    <row r="278" customFormat="false" ht="15.75" hidden="false" customHeight="false" outlineLevel="0" collapsed="false">
      <c r="B278" s="60"/>
    </row>
    <row r="279" customFormat="false" ht="15.75" hidden="false" customHeight="false" outlineLevel="0" collapsed="false">
      <c r="B279" s="60"/>
    </row>
    <row r="280" customFormat="false" ht="15.75" hidden="false" customHeight="false" outlineLevel="0" collapsed="false">
      <c r="B280" s="60"/>
    </row>
    <row r="281" customFormat="false" ht="15.75" hidden="false" customHeight="false" outlineLevel="0" collapsed="false">
      <c r="B281" s="60"/>
    </row>
    <row r="282" customFormat="false" ht="15.75" hidden="false" customHeight="false" outlineLevel="0" collapsed="false">
      <c r="B282" s="60"/>
    </row>
    <row r="283" customFormat="false" ht="15.75" hidden="false" customHeight="false" outlineLevel="0" collapsed="false">
      <c r="B283" s="60"/>
    </row>
    <row r="284" customFormat="false" ht="15.75" hidden="false" customHeight="false" outlineLevel="0" collapsed="false">
      <c r="B284" s="60"/>
    </row>
    <row r="285" customFormat="false" ht="15.75" hidden="false" customHeight="false" outlineLevel="0" collapsed="false">
      <c r="B285" s="60"/>
    </row>
    <row r="286" customFormat="false" ht="15.75" hidden="false" customHeight="false" outlineLevel="0" collapsed="false">
      <c r="B286" s="60"/>
    </row>
    <row r="287" customFormat="false" ht="15.75" hidden="false" customHeight="false" outlineLevel="0" collapsed="false">
      <c r="B287" s="60"/>
    </row>
    <row r="288" customFormat="false" ht="15.75" hidden="false" customHeight="false" outlineLevel="0" collapsed="false">
      <c r="B288" s="60"/>
    </row>
    <row r="289" customFormat="false" ht="15.75" hidden="false" customHeight="false" outlineLevel="0" collapsed="false">
      <c r="B289" s="60"/>
    </row>
    <row r="290" customFormat="false" ht="15.75" hidden="false" customHeight="false" outlineLevel="0" collapsed="false">
      <c r="B290" s="60"/>
    </row>
    <row r="291" customFormat="false" ht="15.75" hidden="false" customHeight="false" outlineLevel="0" collapsed="false">
      <c r="B291" s="60"/>
    </row>
    <row r="292" customFormat="false" ht="15.75" hidden="false" customHeight="false" outlineLevel="0" collapsed="false">
      <c r="B292" s="60"/>
    </row>
    <row r="293" customFormat="false" ht="15.75" hidden="false" customHeight="false" outlineLevel="0" collapsed="false">
      <c r="B293" s="60"/>
    </row>
    <row r="294" customFormat="false" ht="15.75" hidden="false" customHeight="false" outlineLevel="0" collapsed="false">
      <c r="B294" s="60"/>
    </row>
    <row r="295" customFormat="false" ht="15.75" hidden="false" customHeight="false" outlineLevel="0" collapsed="false">
      <c r="B295" s="60"/>
    </row>
    <row r="296" customFormat="false" ht="15.75" hidden="false" customHeight="false" outlineLevel="0" collapsed="false">
      <c r="B296" s="60"/>
    </row>
    <row r="297" customFormat="false" ht="15.75" hidden="false" customHeight="false" outlineLevel="0" collapsed="false">
      <c r="B297" s="60"/>
    </row>
    <row r="298" customFormat="false" ht="15.75" hidden="false" customHeight="false" outlineLevel="0" collapsed="false">
      <c r="B298" s="60"/>
    </row>
    <row r="299" customFormat="false" ht="15.75" hidden="false" customHeight="false" outlineLevel="0" collapsed="false">
      <c r="B299" s="60"/>
    </row>
    <row r="300" customFormat="false" ht="15.75" hidden="false" customHeight="false" outlineLevel="0" collapsed="false">
      <c r="B300" s="60"/>
    </row>
    <row r="301" customFormat="false" ht="15.75" hidden="false" customHeight="false" outlineLevel="0" collapsed="false">
      <c r="B301" s="60"/>
    </row>
    <row r="302" customFormat="false" ht="15.75" hidden="false" customHeight="false" outlineLevel="0" collapsed="false">
      <c r="B302" s="60"/>
    </row>
    <row r="303" customFormat="false" ht="15.75" hidden="false" customHeight="false" outlineLevel="0" collapsed="false">
      <c r="B303" s="60"/>
    </row>
    <row r="304" customFormat="false" ht="15.75" hidden="false" customHeight="false" outlineLevel="0" collapsed="false">
      <c r="B304" s="60"/>
    </row>
    <row r="305" customFormat="false" ht="15.75" hidden="false" customHeight="false" outlineLevel="0" collapsed="false">
      <c r="B305" s="60"/>
    </row>
    <row r="306" customFormat="false" ht="15.75" hidden="false" customHeight="false" outlineLevel="0" collapsed="false">
      <c r="B306" s="60"/>
    </row>
    <row r="307" customFormat="false" ht="15.75" hidden="false" customHeight="false" outlineLevel="0" collapsed="false">
      <c r="B307" s="60"/>
    </row>
    <row r="308" customFormat="false" ht="15.75" hidden="false" customHeight="false" outlineLevel="0" collapsed="false">
      <c r="B308" s="60"/>
    </row>
    <row r="309" customFormat="false" ht="15.75" hidden="false" customHeight="false" outlineLevel="0" collapsed="false">
      <c r="B309" s="60"/>
    </row>
    <row r="310" customFormat="false" ht="15.75" hidden="false" customHeight="false" outlineLevel="0" collapsed="false">
      <c r="B310" s="60"/>
    </row>
    <row r="311" customFormat="false" ht="15.75" hidden="false" customHeight="false" outlineLevel="0" collapsed="false">
      <c r="B311" s="60"/>
    </row>
    <row r="312" customFormat="false" ht="15.75" hidden="false" customHeight="false" outlineLevel="0" collapsed="false">
      <c r="B312" s="60"/>
    </row>
    <row r="313" customFormat="false" ht="15.75" hidden="false" customHeight="false" outlineLevel="0" collapsed="false">
      <c r="B313" s="60"/>
    </row>
    <row r="314" customFormat="false" ht="15.75" hidden="false" customHeight="false" outlineLevel="0" collapsed="false">
      <c r="B314" s="60"/>
    </row>
    <row r="315" customFormat="false" ht="15.75" hidden="false" customHeight="false" outlineLevel="0" collapsed="false">
      <c r="B315" s="60"/>
    </row>
    <row r="316" customFormat="false" ht="15.75" hidden="false" customHeight="false" outlineLevel="0" collapsed="false">
      <c r="B316" s="60"/>
    </row>
    <row r="317" customFormat="false" ht="15.75" hidden="false" customHeight="false" outlineLevel="0" collapsed="false">
      <c r="B317" s="60"/>
    </row>
    <row r="318" customFormat="false" ht="15.75" hidden="false" customHeight="false" outlineLevel="0" collapsed="false">
      <c r="B318" s="60"/>
    </row>
    <row r="319" customFormat="false" ht="15.75" hidden="false" customHeight="false" outlineLevel="0" collapsed="false">
      <c r="B319" s="60"/>
    </row>
    <row r="320" customFormat="false" ht="15.75" hidden="false" customHeight="false" outlineLevel="0" collapsed="false">
      <c r="B320" s="60"/>
    </row>
    <row r="321" customFormat="false" ht="15.75" hidden="false" customHeight="false" outlineLevel="0" collapsed="false">
      <c r="B321" s="60"/>
    </row>
    <row r="322" customFormat="false" ht="15.75" hidden="false" customHeight="false" outlineLevel="0" collapsed="false">
      <c r="B322" s="60"/>
    </row>
    <row r="323" customFormat="false" ht="15.75" hidden="false" customHeight="false" outlineLevel="0" collapsed="false">
      <c r="B323" s="60"/>
    </row>
    <row r="324" customFormat="false" ht="15.75" hidden="false" customHeight="false" outlineLevel="0" collapsed="false">
      <c r="B324" s="60"/>
    </row>
    <row r="325" customFormat="false" ht="15.75" hidden="false" customHeight="false" outlineLevel="0" collapsed="false">
      <c r="B325" s="60"/>
    </row>
    <row r="326" customFormat="false" ht="15.75" hidden="false" customHeight="false" outlineLevel="0" collapsed="false">
      <c r="B326" s="60"/>
    </row>
    <row r="327" customFormat="false" ht="15.75" hidden="false" customHeight="false" outlineLevel="0" collapsed="false">
      <c r="B327" s="60"/>
    </row>
    <row r="328" customFormat="false" ht="15.75" hidden="false" customHeight="false" outlineLevel="0" collapsed="false">
      <c r="B328" s="60"/>
    </row>
    <row r="329" customFormat="false" ht="15.75" hidden="false" customHeight="false" outlineLevel="0" collapsed="false">
      <c r="B329" s="60"/>
    </row>
    <row r="330" customFormat="false" ht="15.75" hidden="false" customHeight="false" outlineLevel="0" collapsed="false">
      <c r="B330" s="60"/>
    </row>
    <row r="331" customFormat="false" ht="15.75" hidden="false" customHeight="false" outlineLevel="0" collapsed="false">
      <c r="B331" s="60"/>
    </row>
    <row r="332" customFormat="false" ht="15.75" hidden="false" customHeight="false" outlineLevel="0" collapsed="false">
      <c r="B332" s="60"/>
    </row>
    <row r="333" customFormat="false" ht="15.75" hidden="false" customHeight="false" outlineLevel="0" collapsed="false">
      <c r="B333" s="60"/>
    </row>
    <row r="334" customFormat="false" ht="15.75" hidden="false" customHeight="false" outlineLevel="0" collapsed="false">
      <c r="B334" s="60"/>
    </row>
    <row r="335" customFormat="false" ht="15.75" hidden="false" customHeight="false" outlineLevel="0" collapsed="false">
      <c r="B335" s="60"/>
    </row>
    <row r="336" customFormat="false" ht="15.75" hidden="false" customHeight="false" outlineLevel="0" collapsed="false">
      <c r="B336" s="60"/>
    </row>
    <row r="337" customFormat="false" ht="15.75" hidden="false" customHeight="false" outlineLevel="0" collapsed="false">
      <c r="B337" s="60"/>
    </row>
    <row r="338" customFormat="false" ht="15.75" hidden="false" customHeight="false" outlineLevel="0" collapsed="false">
      <c r="B338" s="60"/>
    </row>
    <row r="339" customFormat="false" ht="15.75" hidden="false" customHeight="false" outlineLevel="0" collapsed="false">
      <c r="B339" s="60"/>
    </row>
    <row r="340" customFormat="false" ht="15.75" hidden="false" customHeight="false" outlineLevel="0" collapsed="false">
      <c r="B340" s="60"/>
    </row>
    <row r="341" customFormat="false" ht="15.75" hidden="false" customHeight="false" outlineLevel="0" collapsed="false">
      <c r="B341" s="60"/>
    </row>
    <row r="342" customFormat="false" ht="15.75" hidden="false" customHeight="false" outlineLevel="0" collapsed="false">
      <c r="B342" s="60"/>
    </row>
    <row r="343" customFormat="false" ht="15.75" hidden="false" customHeight="false" outlineLevel="0" collapsed="false">
      <c r="B343" s="60"/>
    </row>
    <row r="344" customFormat="false" ht="15.75" hidden="false" customHeight="false" outlineLevel="0" collapsed="false">
      <c r="B344" s="60"/>
    </row>
    <row r="345" customFormat="false" ht="15.75" hidden="false" customHeight="false" outlineLevel="0" collapsed="false">
      <c r="B345" s="60"/>
    </row>
    <row r="346" customFormat="false" ht="15.75" hidden="false" customHeight="false" outlineLevel="0" collapsed="false">
      <c r="B346" s="60"/>
    </row>
    <row r="347" customFormat="false" ht="15.75" hidden="false" customHeight="false" outlineLevel="0" collapsed="false">
      <c r="B347" s="60"/>
    </row>
    <row r="348" customFormat="false" ht="15.75" hidden="false" customHeight="false" outlineLevel="0" collapsed="false">
      <c r="B348" s="60"/>
    </row>
    <row r="349" customFormat="false" ht="15.75" hidden="false" customHeight="false" outlineLevel="0" collapsed="false">
      <c r="B349" s="60"/>
    </row>
    <row r="350" customFormat="false" ht="15.75" hidden="false" customHeight="false" outlineLevel="0" collapsed="false">
      <c r="B350" s="60"/>
    </row>
    <row r="351" customFormat="false" ht="15.75" hidden="false" customHeight="false" outlineLevel="0" collapsed="false">
      <c r="B351" s="60"/>
    </row>
    <row r="352" customFormat="false" ht="15.75" hidden="false" customHeight="false" outlineLevel="0" collapsed="false">
      <c r="B352" s="60"/>
    </row>
    <row r="353" customFormat="false" ht="15.75" hidden="false" customHeight="false" outlineLevel="0" collapsed="false">
      <c r="B353" s="60"/>
    </row>
    <row r="354" customFormat="false" ht="15.75" hidden="false" customHeight="false" outlineLevel="0" collapsed="false">
      <c r="B354" s="60"/>
    </row>
    <row r="355" customFormat="false" ht="15.75" hidden="false" customHeight="false" outlineLevel="0" collapsed="false">
      <c r="B355" s="60"/>
    </row>
    <row r="356" customFormat="false" ht="15.75" hidden="false" customHeight="false" outlineLevel="0" collapsed="false">
      <c r="B356" s="60"/>
    </row>
    <row r="357" customFormat="false" ht="15.75" hidden="false" customHeight="false" outlineLevel="0" collapsed="false">
      <c r="B357" s="60"/>
    </row>
    <row r="358" customFormat="false" ht="15.75" hidden="false" customHeight="false" outlineLevel="0" collapsed="false">
      <c r="B358" s="60"/>
    </row>
    <row r="359" customFormat="false" ht="15.75" hidden="false" customHeight="false" outlineLevel="0" collapsed="false">
      <c r="B359" s="60"/>
    </row>
    <row r="360" customFormat="false" ht="15.75" hidden="false" customHeight="false" outlineLevel="0" collapsed="false">
      <c r="B360" s="60"/>
    </row>
    <row r="361" customFormat="false" ht="15.75" hidden="false" customHeight="false" outlineLevel="0" collapsed="false">
      <c r="B361" s="60"/>
    </row>
    <row r="362" customFormat="false" ht="15.75" hidden="false" customHeight="false" outlineLevel="0" collapsed="false">
      <c r="B362" s="60"/>
    </row>
    <row r="363" customFormat="false" ht="15.75" hidden="false" customHeight="false" outlineLevel="0" collapsed="false">
      <c r="B363" s="60"/>
    </row>
    <row r="364" customFormat="false" ht="15.75" hidden="false" customHeight="false" outlineLevel="0" collapsed="false">
      <c r="B364" s="60"/>
    </row>
    <row r="365" customFormat="false" ht="15.75" hidden="false" customHeight="false" outlineLevel="0" collapsed="false">
      <c r="B365" s="60"/>
    </row>
    <row r="366" customFormat="false" ht="15.75" hidden="false" customHeight="false" outlineLevel="0" collapsed="false">
      <c r="B366" s="60"/>
    </row>
    <row r="367" customFormat="false" ht="15.75" hidden="false" customHeight="false" outlineLevel="0" collapsed="false">
      <c r="B367" s="60"/>
    </row>
    <row r="368" customFormat="false" ht="15.75" hidden="false" customHeight="false" outlineLevel="0" collapsed="false">
      <c r="B368" s="60"/>
    </row>
    <row r="369" customFormat="false" ht="15.75" hidden="false" customHeight="false" outlineLevel="0" collapsed="false">
      <c r="B369" s="60"/>
    </row>
    <row r="370" customFormat="false" ht="15.75" hidden="false" customHeight="false" outlineLevel="0" collapsed="false">
      <c r="B370" s="60"/>
    </row>
    <row r="371" customFormat="false" ht="15.75" hidden="false" customHeight="false" outlineLevel="0" collapsed="false">
      <c r="B371" s="60"/>
    </row>
    <row r="372" customFormat="false" ht="15.75" hidden="false" customHeight="false" outlineLevel="0" collapsed="false">
      <c r="B372" s="60"/>
    </row>
    <row r="373" customFormat="false" ht="15.75" hidden="false" customHeight="false" outlineLevel="0" collapsed="false">
      <c r="B373" s="60"/>
    </row>
    <row r="374" customFormat="false" ht="15.75" hidden="false" customHeight="false" outlineLevel="0" collapsed="false">
      <c r="B374" s="60"/>
    </row>
    <row r="375" customFormat="false" ht="15.75" hidden="false" customHeight="false" outlineLevel="0" collapsed="false">
      <c r="B375" s="60"/>
    </row>
    <row r="376" customFormat="false" ht="15.75" hidden="false" customHeight="false" outlineLevel="0" collapsed="false">
      <c r="B376" s="60"/>
    </row>
    <row r="377" customFormat="false" ht="15.75" hidden="false" customHeight="false" outlineLevel="0" collapsed="false">
      <c r="B377" s="60"/>
    </row>
    <row r="378" customFormat="false" ht="15.75" hidden="false" customHeight="false" outlineLevel="0" collapsed="false">
      <c r="B378" s="60"/>
    </row>
    <row r="379" customFormat="false" ht="15.75" hidden="false" customHeight="false" outlineLevel="0" collapsed="false">
      <c r="B379" s="60"/>
    </row>
    <row r="380" customFormat="false" ht="15.75" hidden="false" customHeight="false" outlineLevel="0" collapsed="false">
      <c r="B380" s="60"/>
    </row>
    <row r="381" customFormat="false" ht="15.75" hidden="false" customHeight="false" outlineLevel="0" collapsed="false">
      <c r="B381" s="60"/>
    </row>
    <row r="382" customFormat="false" ht="15.75" hidden="false" customHeight="false" outlineLevel="0" collapsed="false">
      <c r="B382" s="60"/>
    </row>
    <row r="383" customFormat="false" ht="15.75" hidden="false" customHeight="false" outlineLevel="0" collapsed="false">
      <c r="B383" s="60"/>
    </row>
    <row r="384" customFormat="false" ht="15.75" hidden="false" customHeight="false" outlineLevel="0" collapsed="false">
      <c r="B384" s="60"/>
    </row>
    <row r="385" customFormat="false" ht="15.75" hidden="false" customHeight="false" outlineLevel="0" collapsed="false">
      <c r="B385" s="60"/>
    </row>
    <row r="386" customFormat="false" ht="15.75" hidden="false" customHeight="false" outlineLevel="0" collapsed="false">
      <c r="B386" s="60"/>
    </row>
    <row r="387" customFormat="false" ht="15.75" hidden="false" customHeight="false" outlineLevel="0" collapsed="false">
      <c r="B387" s="60"/>
    </row>
    <row r="388" customFormat="false" ht="15.75" hidden="false" customHeight="false" outlineLevel="0" collapsed="false">
      <c r="B388" s="60"/>
    </row>
    <row r="389" customFormat="false" ht="15.75" hidden="false" customHeight="false" outlineLevel="0" collapsed="false">
      <c r="B389" s="60"/>
    </row>
    <row r="390" customFormat="false" ht="15.75" hidden="false" customHeight="false" outlineLevel="0" collapsed="false">
      <c r="B390" s="60"/>
    </row>
    <row r="391" customFormat="false" ht="15.75" hidden="false" customHeight="false" outlineLevel="0" collapsed="false">
      <c r="B391" s="60"/>
    </row>
    <row r="392" customFormat="false" ht="15.75" hidden="false" customHeight="false" outlineLevel="0" collapsed="false">
      <c r="B392" s="60"/>
    </row>
    <row r="393" customFormat="false" ht="15.75" hidden="false" customHeight="false" outlineLevel="0" collapsed="false">
      <c r="B393" s="60"/>
    </row>
    <row r="394" customFormat="false" ht="15.75" hidden="false" customHeight="false" outlineLevel="0" collapsed="false">
      <c r="B394" s="60"/>
    </row>
    <row r="395" customFormat="false" ht="15.75" hidden="false" customHeight="false" outlineLevel="0" collapsed="false">
      <c r="B395" s="60"/>
    </row>
    <row r="396" customFormat="false" ht="15.75" hidden="false" customHeight="false" outlineLevel="0" collapsed="false">
      <c r="B396" s="60"/>
    </row>
    <row r="397" customFormat="false" ht="15.75" hidden="false" customHeight="false" outlineLevel="0" collapsed="false">
      <c r="B397" s="60"/>
    </row>
    <row r="398" customFormat="false" ht="15.75" hidden="false" customHeight="false" outlineLevel="0" collapsed="false">
      <c r="B398" s="60"/>
    </row>
    <row r="399" customFormat="false" ht="15.75" hidden="false" customHeight="false" outlineLevel="0" collapsed="false">
      <c r="B399" s="60"/>
    </row>
    <row r="400" customFormat="false" ht="15.75" hidden="false" customHeight="false" outlineLevel="0" collapsed="false">
      <c r="B400" s="60"/>
    </row>
    <row r="401" customFormat="false" ht="15.75" hidden="false" customHeight="false" outlineLevel="0" collapsed="false">
      <c r="B401" s="60"/>
    </row>
    <row r="402" customFormat="false" ht="15.75" hidden="false" customHeight="false" outlineLevel="0" collapsed="false">
      <c r="B402" s="60"/>
    </row>
    <row r="403" customFormat="false" ht="15.75" hidden="false" customHeight="false" outlineLevel="0" collapsed="false">
      <c r="B403" s="60"/>
    </row>
    <row r="404" customFormat="false" ht="15.75" hidden="false" customHeight="false" outlineLevel="0" collapsed="false">
      <c r="B404" s="60"/>
    </row>
    <row r="405" customFormat="false" ht="15.75" hidden="false" customHeight="false" outlineLevel="0" collapsed="false">
      <c r="B405" s="60"/>
    </row>
    <row r="406" customFormat="false" ht="15.75" hidden="false" customHeight="false" outlineLevel="0" collapsed="false">
      <c r="B406" s="60"/>
    </row>
    <row r="407" customFormat="false" ht="15.75" hidden="false" customHeight="false" outlineLevel="0" collapsed="false">
      <c r="B407" s="60"/>
    </row>
    <row r="408" customFormat="false" ht="15.75" hidden="false" customHeight="false" outlineLevel="0" collapsed="false">
      <c r="B408" s="60"/>
    </row>
    <row r="409" customFormat="false" ht="15.75" hidden="false" customHeight="false" outlineLevel="0" collapsed="false">
      <c r="B409" s="60"/>
    </row>
    <row r="410" customFormat="false" ht="15.75" hidden="false" customHeight="false" outlineLevel="0" collapsed="false">
      <c r="B410" s="60"/>
    </row>
    <row r="411" customFormat="false" ht="15.75" hidden="false" customHeight="false" outlineLevel="0" collapsed="false">
      <c r="B411" s="60"/>
    </row>
    <row r="412" customFormat="false" ht="15.75" hidden="false" customHeight="false" outlineLevel="0" collapsed="false">
      <c r="B412" s="60"/>
    </row>
    <row r="413" customFormat="false" ht="15.75" hidden="false" customHeight="false" outlineLevel="0" collapsed="false">
      <c r="B413" s="60"/>
    </row>
    <row r="414" customFormat="false" ht="15.75" hidden="false" customHeight="false" outlineLevel="0" collapsed="false">
      <c r="B414" s="60"/>
    </row>
    <row r="415" customFormat="false" ht="15.75" hidden="false" customHeight="false" outlineLevel="0" collapsed="false">
      <c r="B415" s="60"/>
    </row>
    <row r="416" customFormat="false" ht="15.75" hidden="false" customHeight="false" outlineLevel="0" collapsed="false">
      <c r="B416" s="60"/>
    </row>
    <row r="417" customFormat="false" ht="15.75" hidden="false" customHeight="false" outlineLevel="0" collapsed="false">
      <c r="B417" s="60"/>
    </row>
    <row r="418" customFormat="false" ht="15.75" hidden="false" customHeight="false" outlineLevel="0" collapsed="false">
      <c r="B418" s="60"/>
    </row>
    <row r="419" customFormat="false" ht="15.75" hidden="false" customHeight="false" outlineLevel="0" collapsed="false">
      <c r="B419" s="60"/>
    </row>
    <row r="420" customFormat="false" ht="15.75" hidden="false" customHeight="false" outlineLevel="0" collapsed="false">
      <c r="B420" s="60"/>
    </row>
    <row r="421" customFormat="false" ht="15.75" hidden="false" customHeight="false" outlineLevel="0" collapsed="false">
      <c r="B421" s="60"/>
    </row>
    <row r="422" customFormat="false" ht="15.75" hidden="false" customHeight="false" outlineLevel="0" collapsed="false">
      <c r="B422" s="60"/>
    </row>
    <row r="423" customFormat="false" ht="15.75" hidden="false" customHeight="false" outlineLevel="0" collapsed="false">
      <c r="B423" s="60"/>
    </row>
    <row r="424" customFormat="false" ht="15.75" hidden="false" customHeight="false" outlineLevel="0" collapsed="false">
      <c r="B424" s="60"/>
    </row>
    <row r="425" customFormat="false" ht="15.75" hidden="false" customHeight="false" outlineLevel="0" collapsed="false">
      <c r="B425" s="60"/>
    </row>
    <row r="426" customFormat="false" ht="15.75" hidden="false" customHeight="false" outlineLevel="0" collapsed="false">
      <c r="B426" s="60"/>
    </row>
    <row r="427" customFormat="false" ht="15.75" hidden="false" customHeight="false" outlineLevel="0" collapsed="false">
      <c r="B427" s="60"/>
    </row>
    <row r="428" customFormat="false" ht="15.75" hidden="false" customHeight="false" outlineLevel="0" collapsed="false">
      <c r="B428" s="60"/>
    </row>
    <row r="429" customFormat="false" ht="15.75" hidden="false" customHeight="false" outlineLevel="0" collapsed="false">
      <c r="B429" s="60"/>
    </row>
    <row r="430" customFormat="false" ht="15.75" hidden="false" customHeight="false" outlineLevel="0" collapsed="false">
      <c r="B430" s="60"/>
    </row>
    <row r="431" customFormat="false" ht="15.75" hidden="false" customHeight="false" outlineLevel="0" collapsed="false">
      <c r="B431" s="60"/>
    </row>
    <row r="432" customFormat="false" ht="15.75" hidden="false" customHeight="false" outlineLevel="0" collapsed="false">
      <c r="B432" s="60"/>
    </row>
    <row r="433" customFormat="false" ht="15.75" hidden="false" customHeight="false" outlineLevel="0" collapsed="false">
      <c r="B433" s="60"/>
    </row>
    <row r="434" customFormat="false" ht="15.75" hidden="false" customHeight="false" outlineLevel="0" collapsed="false">
      <c r="B434" s="60"/>
    </row>
    <row r="435" customFormat="false" ht="15.75" hidden="false" customHeight="false" outlineLevel="0" collapsed="false">
      <c r="B435" s="60"/>
    </row>
    <row r="436" customFormat="false" ht="15.75" hidden="false" customHeight="false" outlineLevel="0" collapsed="false">
      <c r="B436" s="60"/>
    </row>
    <row r="437" customFormat="false" ht="15.75" hidden="false" customHeight="false" outlineLevel="0" collapsed="false">
      <c r="B437" s="60"/>
    </row>
    <row r="438" customFormat="false" ht="15.75" hidden="false" customHeight="false" outlineLevel="0" collapsed="false">
      <c r="B438" s="60"/>
    </row>
    <row r="439" customFormat="false" ht="15.75" hidden="false" customHeight="false" outlineLevel="0" collapsed="false">
      <c r="B439" s="60"/>
    </row>
    <row r="440" customFormat="false" ht="15.75" hidden="false" customHeight="false" outlineLevel="0" collapsed="false">
      <c r="B440" s="60"/>
    </row>
    <row r="441" customFormat="false" ht="15.75" hidden="false" customHeight="false" outlineLevel="0" collapsed="false">
      <c r="B441" s="60"/>
    </row>
    <row r="442" customFormat="false" ht="15.75" hidden="false" customHeight="false" outlineLevel="0" collapsed="false">
      <c r="B442" s="60"/>
    </row>
    <row r="443" customFormat="false" ht="15.75" hidden="false" customHeight="false" outlineLevel="0" collapsed="false">
      <c r="B443" s="60"/>
    </row>
    <row r="444" customFormat="false" ht="15.75" hidden="false" customHeight="false" outlineLevel="0" collapsed="false">
      <c r="B444" s="60"/>
    </row>
    <row r="445" customFormat="false" ht="15.75" hidden="false" customHeight="false" outlineLevel="0" collapsed="false">
      <c r="B445" s="60"/>
    </row>
    <row r="446" customFormat="false" ht="15.75" hidden="false" customHeight="false" outlineLevel="0" collapsed="false">
      <c r="B446" s="60"/>
    </row>
    <row r="447" customFormat="false" ht="15.75" hidden="false" customHeight="false" outlineLevel="0" collapsed="false">
      <c r="B447" s="60"/>
    </row>
    <row r="448" customFormat="false" ht="15.75" hidden="false" customHeight="false" outlineLevel="0" collapsed="false">
      <c r="B448" s="60"/>
    </row>
    <row r="449" customFormat="false" ht="15.75" hidden="false" customHeight="false" outlineLevel="0" collapsed="false">
      <c r="B449" s="60"/>
    </row>
    <row r="450" customFormat="false" ht="15.75" hidden="false" customHeight="false" outlineLevel="0" collapsed="false">
      <c r="B450" s="60"/>
    </row>
    <row r="451" customFormat="false" ht="15.75" hidden="false" customHeight="false" outlineLevel="0" collapsed="false">
      <c r="B451" s="60"/>
    </row>
    <row r="452" customFormat="false" ht="15.75" hidden="false" customHeight="false" outlineLevel="0" collapsed="false">
      <c r="B452" s="60"/>
    </row>
    <row r="453" customFormat="false" ht="15.75" hidden="false" customHeight="false" outlineLevel="0" collapsed="false">
      <c r="B453" s="60"/>
    </row>
    <row r="454" customFormat="false" ht="15.75" hidden="false" customHeight="false" outlineLevel="0" collapsed="false">
      <c r="B454" s="60"/>
    </row>
    <row r="455" customFormat="false" ht="15.75" hidden="false" customHeight="false" outlineLevel="0" collapsed="false">
      <c r="B455" s="60"/>
    </row>
    <row r="456" customFormat="false" ht="15.75" hidden="false" customHeight="false" outlineLevel="0" collapsed="false">
      <c r="B456" s="60"/>
    </row>
    <row r="457" customFormat="false" ht="15.75" hidden="false" customHeight="false" outlineLevel="0" collapsed="false">
      <c r="B457" s="60"/>
    </row>
    <row r="458" customFormat="false" ht="15.75" hidden="false" customHeight="false" outlineLevel="0" collapsed="false">
      <c r="B458" s="60"/>
    </row>
    <row r="459" customFormat="false" ht="15.75" hidden="false" customHeight="false" outlineLevel="0" collapsed="false">
      <c r="B459" s="60"/>
    </row>
    <row r="460" customFormat="false" ht="15.75" hidden="false" customHeight="false" outlineLevel="0" collapsed="false">
      <c r="B460" s="60"/>
    </row>
    <row r="461" customFormat="false" ht="15.75" hidden="false" customHeight="false" outlineLevel="0" collapsed="false">
      <c r="B461" s="60"/>
    </row>
    <row r="462" customFormat="false" ht="15.75" hidden="false" customHeight="false" outlineLevel="0" collapsed="false">
      <c r="B462" s="60"/>
    </row>
    <row r="463" customFormat="false" ht="15.75" hidden="false" customHeight="false" outlineLevel="0" collapsed="false">
      <c r="B463" s="60"/>
    </row>
    <row r="464" customFormat="false" ht="15.75" hidden="false" customHeight="false" outlineLevel="0" collapsed="false">
      <c r="B464" s="60"/>
    </row>
    <row r="465" customFormat="false" ht="15.75" hidden="false" customHeight="false" outlineLevel="0" collapsed="false">
      <c r="B465" s="60"/>
    </row>
    <row r="466" customFormat="false" ht="15.75" hidden="false" customHeight="false" outlineLevel="0" collapsed="false">
      <c r="B466" s="60"/>
    </row>
    <row r="467" customFormat="false" ht="15.75" hidden="false" customHeight="false" outlineLevel="0" collapsed="false">
      <c r="B467" s="60"/>
    </row>
    <row r="468" customFormat="false" ht="15.75" hidden="false" customHeight="false" outlineLevel="0" collapsed="false">
      <c r="B468" s="60"/>
    </row>
    <row r="469" customFormat="false" ht="15.75" hidden="false" customHeight="false" outlineLevel="0" collapsed="false">
      <c r="B469" s="60"/>
    </row>
    <row r="470" customFormat="false" ht="15.75" hidden="false" customHeight="false" outlineLevel="0" collapsed="false">
      <c r="B470" s="60"/>
    </row>
    <row r="471" customFormat="false" ht="15.75" hidden="false" customHeight="false" outlineLevel="0" collapsed="false">
      <c r="B471" s="60"/>
    </row>
    <row r="472" customFormat="false" ht="15.75" hidden="false" customHeight="false" outlineLevel="0" collapsed="false">
      <c r="B472" s="60"/>
    </row>
    <row r="473" customFormat="false" ht="15.75" hidden="false" customHeight="false" outlineLevel="0" collapsed="false">
      <c r="B473" s="60"/>
    </row>
    <row r="474" customFormat="false" ht="15.75" hidden="false" customHeight="false" outlineLevel="0" collapsed="false">
      <c r="B474" s="60"/>
    </row>
    <row r="475" customFormat="false" ht="15.75" hidden="false" customHeight="false" outlineLevel="0" collapsed="false">
      <c r="B475" s="60"/>
    </row>
    <row r="476" customFormat="false" ht="15.75" hidden="false" customHeight="false" outlineLevel="0" collapsed="false">
      <c r="B476" s="60"/>
    </row>
    <row r="477" customFormat="false" ht="15.75" hidden="false" customHeight="false" outlineLevel="0" collapsed="false">
      <c r="B477" s="60"/>
    </row>
    <row r="478" customFormat="false" ht="15.75" hidden="false" customHeight="false" outlineLevel="0" collapsed="false">
      <c r="B478" s="60"/>
    </row>
    <row r="479" customFormat="false" ht="15.75" hidden="false" customHeight="false" outlineLevel="0" collapsed="false">
      <c r="B479" s="60"/>
    </row>
    <row r="480" customFormat="false" ht="15.75" hidden="false" customHeight="false" outlineLevel="0" collapsed="false">
      <c r="B480" s="60"/>
    </row>
    <row r="481" customFormat="false" ht="15.75" hidden="false" customHeight="false" outlineLevel="0" collapsed="false">
      <c r="B481" s="60"/>
    </row>
    <row r="482" customFormat="false" ht="15.75" hidden="false" customHeight="false" outlineLevel="0" collapsed="false">
      <c r="B482" s="60"/>
    </row>
    <row r="483" customFormat="false" ht="15.75" hidden="false" customHeight="false" outlineLevel="0" collapsed="false">
      <c r="B483" s="60"/>
    </row>
    <row r="484" customFormat="false" ht="15.75" hidden="false" customHeight="false" outlineLevel="0" collapsed="false">
      <c r="B484" s="60"/>
    </row>
    <row r="485" customFormat="false" ht="15.75" hidden="false" customHeight="false" outlineLevel="0" collapsed="false">
      <c r="B485" s="60"/>
    </row>
    <row r="486" customFormat="false" ht="15.75" hidden="false" customHeight="false" outlineLevel="0" collapsed="false">
      <c r="B486" s="60"/>
    </row>
    <row r="487" customFormat="false" ht="15.75" hidden="false" customHeight="false" outlineLevel="0" collapsed="false">
      <c r="B487" s="60"/>
    </row>
    <row r="488" customFormat="false" ht="15.75" hidden="false" customHeight="false" outlineLevel="0" collapsed="false">
      <c r="B488" s="60"/>
    </row>
    <row r="489" customFormat="false" ht="15.75" hidden="false" customHeight="false" outlineLevel="0" collapsed="false">
      <c r="B489" s="60"/>
    </row>
    <row r="490" customFormat="false" ht="15.75" hidden="false" customHeight="false" outlineLevel="0" collapsed="false">
      <c r="B490" s="60"/>
    </row>
    <row r="491" customFormat="false" ht="15.75" hidden="false" customHeight="false" outlineLevel="0" collapsed="false">
      <c r="B491" s="60"/>
    </row>
    <row r="492" customFormat="false" ht="15.75" hidden="false" customHeight="false" outlineLevel="0" collapsed="false">
      <c r="B492" s="60"/>
    </row>
    <row r="493" customFormat="false" ht="15.75" hidden="false" customHeight="false" outlineLevel="0" collapsed="false">
      <c r="B493" s="60"/>
    </row>
    <row r="494" customFormat="false" ht="15.75" hidden="false" customHeight="false" outlineLevel="0" collapsed="false">
      <c r="B494" s="60"/>
    </row>
    <row r="495" customFormat="false" ht="15.75" hidden="false" customHeight="false" outlineLevel="0" collapsed="false">
      <c r="B495" s="60"/>
    </row>
    <row r="496" customFormat="false" ht="15.75" hidden="false" customHeight="false" outlineLevel="0" collapsed="false">
      <c r="B496" s="60"/>
    </row>
    <row r="497" customFormat="false" ht="15.75" hidden="false" customHeight="false" outlineLevel="0" collapsed="false">
      <c r="B497" s="60"/>
    </row>
    <row r="498" customFormat="false" ht="15.75" hidden="false" customHeight="false" outlineLevel="0" collapsed="false">
      <c r="B498" s="60"/>
    </row>
    <row r="499" customFormat="false" ht="15.75" hidden="false" customHeight="false" outlineLevel="0" collapsed="false">
      <c r="B499" s="60"/>
    </row>
    <row r="500" customFormat="false" ht="15.75" hidden="false" customHeight="false" outlineLevel="0" collapsed="false">
      <c r="B500" s="60"/>
    </row>
    <row r="501" customFormat="false" ht="15.75" hidden="false" customHeight="false" outlineLevel="0" collapsed="false">
      <c r="B501" s="60"/>
    </row>
    <row r="502" customFormat="false" ht="15.75" hidden="false" customHeight="false" outlineLevel="0" collapsed="false">
      <c r="B502" s="60"/>
    </row>
    <row r="503" customFormat="false" ht="15.75" hidden="false" customHeight="false" outlineLevel="0" collapsed="false">
      <c r="B503" s="60"/>
    </row>
    <row r="504" customFormat="false" ht="15.75" hidden="false" customHeight="false" outlineLevel="0" collapsed="false">
      <c r="B504" s="60"/>
    </row>
    <row r="505" customFormat="false" ht="15.75" hidden="false" customHeight="false" outlineLevel="0" collapsed="false">
      <c r="B505" s="60"/>
    </row>
    <row r="506" customFormat="false" ht="15.75" hidden="false" customHeight="false" outlineLevel="0" collapsed="false">
      <c r="B506" s="60"/>
    </row>
    <row r="507" customFormat="false" ht="15.75" hidden="false" customHeight="false" outlineLevel="0" collapsed="false">
      <c r="B507" s="60"/>
    </row>
    <row r="508" customFormat="false" ht="15.75" hidden="false" customHeight="false" outlineLevel="0" collapsed="false">
      <c r="B508" s="60"/>
    </row>
    <row r="509" customFormat="false" ht="15.75" hidden="false" customHeight="false" outlineLevel="0" collapsed="false">
      <c r="B509" s="60"/>
    </row>
    <row r="510" customFormat="false" ht="15.75" hidden="false" customHeight="false" outlineLevel="0" collapsed="false">
      <c r="B510" s="60"/>
    </row>
    <row r="511" customFormat="false" ht="15.75" hidden="false" customHeight="false" outlineLevel="0" collapsed="false">
      <c r="B511" s="60"/>
    </row>
    <row r="512" customFormat="false" ht="15.75" hidden="false" customHeight="false" outlineLevel="0" collapsed="false">
      <c r="B512" s="60"/>
    </row>
    <row r="513" customFormat="false" ht="15.75" hidden="false" customHeight="false" outlineLevel="0" collapsed="false">
      <c r="B513" s="60"/>
    </row>
    <row r="514" customFormat="false" ht="15.75" hidden="false" customHeight="false" outlineLevel="0" collapsed="false">
      <c r="B514" s="60"/>
    </row>
    <row r="515" customFormat="false" ht="15.75" hidden="false" customHeight="false" outlineLevel="0" collapsed="false">
      <c r="B515" s="60"/>
    </row>
    <row r="516" customFormat="false" ht="15.75" hidden="false" customHeight="false" outlineLevel="0" collapsed="false">
      <c r="B516" s="60"/>
    </row>
    <row r="517" customFormat="false" ht="15.75" hidden="false" customHeight="false" outlineLevel="0" collapsed="false">
      <c r="B517" s="60"/>
    </row>
    <row r="518" customFormat="false" ht="15.75" hidden="false" customHeight="false" outlineLevel="0" collapsed="false">
      <c r="B518" s="60"/>
    </row>
    <row r="519" customFormat="false" ht="15.75" hidden="false" customHeight="false" outlineLevel="0" collapsed="false">
      <c r="B519" s="60"/>
    </row>
    <row r="520" customFormat="false" ht="15.75" hidden="false" customHeight="false" outlineLevel="0" collapsed="false">
      <c r="B520" s="60"/>
    </row>
    <row r="521" customFormat="false" ht="15.75" hidden="false" customHeight="false" outlineLevel="0" collapsed="false">
      <c r="B521" s="60"/>
    </row>
    <row r="522" customFormat="false" ht="15.75" hidden="false" customHeight="false" outlineLevel="0" collapsed="false">
      <c r="B522" s="60"/>
    </row>
    <row r="523" customFormat="false" ht="15.75" hidden="false" customHeight="false" outlineLevel="0" collapsed="false">
      <c r="B523" s="60"/>
    </row>
    <row r="524" customFormat="false" ht="15.75" hidden="false" customHeight="false" outlineLevel="0" collapsed="false">
      <c r="B524" s="60"/>
    </row>
    <row r="525" customFormat="false" ht="15.75" hidden="false" customHeight="false" outlineLevel="0" collapsed="false">
      <c r="B525" s="60"/>
    </row>
    <row r="526" customFormat="false" ht="15.75" hidden="false" customHeight="false" outlineLevel="0" collapsed="false">
      <c r="B526" s="60"/>
    </row>
    <row r="527" customFormat="false" ht="15.75" hidden="false" customHeight="false" outlineLevel="0" collapsed="false">
      <c r="B527" s="60"/>
    </row>
    <row r="528" customFormat="false" ht="15.75" hidden="false" customHeight="false" outlineLevel="0" collapsed="false">
      <c r="B528" s="60"/>
    </row>
    <row r="529" customFormat="false" ht="15.75" hidden="false" customHeight="false" outlineLevel="0" collapsed="false">
      <c r="B529" s="60"/>
    </row>
    <row r="530" customFormat="false" ht="15.75" hidden="false" customHeight="false" outlineLevel="0" collapsed="false">
      <c r="B530" s="60"/>
    </row>
    <row r="531" customFormat="false" ht="15.75" hidden="false" customHeight="false" outlineLevel="0" collapsed="false">
      <c r="B531" s="60"/>
    </row>
    <row r="532" customFormat="false" ht="15.75" hidden="false" customHeight="false" outlineLevel="0" collapsed="false">
      <c r="B532" s="60"/>
    </row>
    <row r="533" customFormat="false" ht="15.75" hidden="false" customHeight="false" outlineLevel="0" collapsed="false">
      <c r="B533" s="60"/>
    </row>
    <row r="534" customFormat="false" ht="15.75" hidden="false" customHeight="false" outlineLevel="0" collapsed="false">
      <c r="B534" s="60"/>
    </row>
    <row r="535" customFormat="false" ht="15.75" hidden="false" customHeight="false" outlineLevel="0" collapsed="false">
      <c r="B535" s="60"/>
    </row>
    <row r="536" customFormat="false" ht="15.75" hidden="false" customHeight="false" outlineLevel="0" collapsed="false">
      <c r="B536" s="60"/>
    </row>
    <row r="537" customFormat="false" ht="15.75" hidden="false" customHeight="false" outlineLevel="0" collapsed="false">
      <c r="B537" s="60"/>
    </row>
    <row r="538" customFormat="false" ht="15.75" hidden="false" customHeight="false" outlineLevel="0" collapsed="false">
      <c r="B538" s="60"/>
    </row>
    <row r="539" customFormat="false" ht="15.75" hidden="false" customHeight="false" outlineLevel="0" collapsed="false">
      <c r="B539" s="60"/>
    </row>
    <row r="540" customFormat="false" ht="15.75" hidden="false" customHeight="false" outlineLevel="0" collapsed="false">
      <c r="B540" s="60"/>
    </row>
    <row r="541" customFormat="false" ht="15.75" hidden="false" customHeight="false" outlineLevel="0" collapsed="false">
      <c r="B541" s="60"/>
    </row>
    <row r="542" customFormat="false" ht="15.75" hidden="false" customHeight="false" outlineLevel="0" collapsed="false">
      <c r="B542" s="60"/>
    </row>
    <row r="543" customFormat="false" ht="15.75" hidden="false" customHeight="false" outlineLevel="0" collapsed="false">
      <c r="B543" s="60"/>
    </row>
    <row r="544" customFormat="false" ht="15.75" hidden="false" customHeight="false" outlineLevel="0" collapsed="false">
      <c r="B544" s="60"/>
    </row>
    <row r="545" customFormat="false" ht="15.75" hidden="false" customHeight="false" outlineLevel="0" collapsed="false">
      <c r="B545" s="60"/>
    </row>
    <row r="546" customFormat="false" ht="15.75" hidden="false" customHeight="false" outlineLevel="0" collapsed="false">
      <c r="B546" s="60"/>
    </row>
    <row r="547" customFormat="false" ht="15.75" hidden="false" customHeight="false" outlineLevel="0" collapsed="false">
      <c r="B547" s="60"/>
    </row>
    <row r="548" customFormat="false" ht="15.75" hidden="false" customHeight="false" outlineLevel="0" collapsed="false">
      <c r="B548" s="60"/>
    </row>
    <row r="549" customFormat="false" ht="15.75" hidden="false" customHeight="false" outlineLevel="0" collapsed="false">
      <c r="B549" s="60"/>
    </row>
    <row r="550" customFormat="false" ht="15.75" hidden="false" customHeight="false" outlineLevel="0" collapsed="false">
      <c r="B550" s="60"/>
    </row>
    <row r="551" customFormat="false" ht="15.75" hidden="false" customHeight="false" outlineLevel="0" collapsed="false">
      <c r="B551" s="60"/>
    </row>
    <row r="552" customFormat="false" ht="15.75" hidden="false" customHeight="false" outlineLevel="0" collapsed="false">
      <c r="B552" s="60"/>
    </row>
    <row r="553" customFormat="false" ht="15.75" hidden="false" customHeight="false" outlineLevel="0" collapsed="false">
      <c r="B553" s="60"/>
    </row>
    <row r="554" customFormat="false" ht="15.75" hidden="false" customHeight="false" outlineLevel="0" collapsed="false">
      <c r="B554" s="60"/>
    </row>
    <row r="555" customFormat="false" ht="15.75" hidden="false" customHeight="false" outlineLevel="0" collapsed="false">
      <c r="B555" s="60"/>
    </row>
    <row r="556" customFormat="false" ht="15.75" hidden="false" customHeight="false" outlineLevel="0" collapsed="false">
      <c r="B556" s="60"/>
    </row>
    <row r="557" customFormat="false" ht="15.75" hidden="false" customHeight="false" outlineLevel="0" collapsed="false">
      <c r="B557" s="60"/>
    </row>
    <row r="558" customFormat="false" ht="15.75" hidden="false" customHeight="false" outlineLevel="0" collapsed="false">
      <c r="B558" s="60"/>
    </row>
    <row r="559" customFormat="false" ht="15.75" hidden="false" customHeight="false" outlineLevel="0" collapsed="false">
      <c r="B559" s="60"/>
    </row>
    <row r="560" customFormat="false" ht="15.75" hidden="false" customHeight="false" outlineLevel="0" collapsed="false">
      <c r="B560" s="60"/>
    </row>
    <row r="561" customFormat="false" ht="15.75" hidden="false" customHeight="false" outlineLevel="0" collapsed="false">
      <c r="B561" s="60"/>
    </row>
    <row r="562" customFormat="false" ht="15.75" hidden="false" customHeight="false" outlineLevel="0" collapsed="false">
      <c r="B562" s="60"/>
    </row>
    <row r="563" customFormat="false" ht="15.75" hidden="false" customHeight="false" outlineLevel="0" collapsed="false">
      <c r="B563" s="60"/>
    </row>
    <row r="564" customFormat="false" ht="15.75" hidden="false" customHeight="false" outlineLevel="0" collapsed="false">
      <c r="B564" s="60"/>
    </row>
    <row r="565" customFormat="false" ht="15.75" hidden="false" customHeight="false" outlineLevel="0" collapsed="false">
      <c r="B565" s="60"/>
    </row>
    <row r="566" customFormat="false" ht="15.75" hidden="false" customHeight="false" outlineLevel="0" collapsed="false">
      <c r="B566" s="60"/>
    </row>
    <row r="567" customFormat="false" ht="15.75" hidden="false" customHeight="false" outlineLevel="0" collapsed="false">
      <c r="B567" s="60"/>
    </row>
    <row r="568" customFormat="false" ht="15.75" hidden="false" customHeight="false" outlineLevel="0" collapsed="false">
      <c r="B568" s="60"/>
    </row>
    <row r="569" customFormat="false" ht="15.75" hidden="false" customHeight="false" outlineLevel="0" collapsed="false">
      <c r="B569" s="60"/>
    </row>
    <row r="570" customFormat="false" ht="15.75" hidden="false" customHeight="false" outlineLevel="0" collapsed="false">
      <c r="B570" s="60"/>
    </row>
    <row r="571" customFormat="false" ht="15.75" hidden="false" customHeight="false" outlineLevel="0" collapsed="false">
      <c r="B571" s="60"/>
    </row>
    <row r="572" customFormat="false" ht="15.75" hidden="false" customHeight="false" outlineLevel="0" collapsed="false">
      <c r="B572" s="60"/>
    </row>
    <row r="573" customFormat="false" ht="15.75" hidden="false" customHeight="false" outlineLevel="0" collapsed="false">
      <c r="B573" s="60"/>
    </row>
    <row r="574" customFormat="false" ht="15.75" hidden="false" customHeight="false" outlineLevel="0" collapsed="false">
      <c r="B574" s="60"/>
    </row>
    <row r="575" customFormat="false" ht="15.75" hidden="false" customHeight="false" outlineLevel="0" collapsed="false">
      <c r="B575" s="60"/>
    </row>
    <row r="576" customFormat="false" ht="15.75" hidden="false" customHeight="false" outlineLevel="0" collapsed="false">
      <c r="B576" s="60"/>
    </row>
    <row r="577" customFormat="false" ht="15.75" hidden="false" customHeight="false" outlineLevel="0" collapsed="false">
      <c r="B577" s="60"/>
    </row>
    <row r="578" customFormat="false" ht="15.75" hidden="false" customHeight="false" outlineLevel="0" collapsed="false">
      <c r="B578" s="60"/>
    </row>
    <row r="579" customFormat="false" ht="15.75" hidden="false" customHeight="false" outlineLevel="0" collapsed="false">
      <c r="B579" s="60"/>
    </row>
    <row r="580" customFormat="false" ht="15.75" hidden="false" customHeight="false" outlineLevel="0" collapsed="false">
      <c r="B580" s="60"/>
    </row>
    <row r="581" customFormat="false" ht="15.75" hidden="false" customHeight="false" outlineLevel="0" collapsed="false">
      <c r="B581" s="60"/>
    </row>
    <row r="582" customFormat="false" ht="15.75" hidden="false" customHeight="false" outlineLevel="0" collapsed="false">
      <c r="B582" s="60"/>
    </row>
    <row r="583" customFormat="false" ht="15.75" hidden="false" customHeight="false" outlineLevel="0" collapsed="false">
      <c r="B583" s="60"/>
    </row>
    <row r="584" customFormat="false" ht="15.75" hidden="false" customHeight="false" outlineLevel="0" collapsed="false">
      <c r="B584" s="60"/>
    </row>
    <row r="585" customFormat="false" ht="15.75" hidden="false" customHeight="false" outlineLevel="0" collapsed="false">
      <c r="B585" s="60"/>
    </row>
    <row r="586" customFormat="false" ht="15.75" hidden="false" customHeight="false" outlineLevel="0" collapsed="false">
      <c r="B586" s="60"/>
    </row>
    <row r="587" customFormat="false" ht="15.75" hidden="false" customHeight="false" outlineLevel="0" collapsed="false">
      <c r="B587" s="60"/>
    </row>
    <row r="588" customFormat="false" ht="15.75" hidden="false" customHeight="false" outlineLevel="0" collapsed="false">
      <c r="B588" s="60"/>
    </row>
    <row r="589" customFormat="false" ht="15.75" hidden="false" customHeight="false" outlineLevel="0" collapsed="false">
      <c r="B589" s="60"/>
    </row>
    <row r="590" customFormat="false" ht="15.75" hidden="false" customHeight="false" outlineLevel="0" collapsed="false">
      <c r="B590" s="60"/>
    </row>
    <row r="591" customFormat="false" ht="15.75" hidden="false" customHeight="false" outlineLevel="0" collapsed="false">
      <c r="B591" s="60"/>
    </row>
    <row r="592" customFormat="false" ht="15.75" hidden="false" customHeight="false" outlineLevel="0" collapsed="false">
      <c r="B592" s="60"/>
    </row>
    <row r="593" customFormat="false" ht="15.75" hidden="false" customHeight="false" outlineLevel="0" collapsed="false">
      <c r="B593" s="60"/>
    </row>
    <row r="594" customFormat="false" ht="15.75" hidden="false" customHeight="false" outlineLevel="0" collapsed="false">
      <c r="B594" s="60"/>
    </row>
    <row r="595" customFormat="false" ht="15.75" hidden="false" customHeight="false" outlineLevel="0" collapsed="false">
      <c r="B595" s="60"/>
    </row>
    <row r="596" customFormat="false" ht="15.75" hidden="false" customHeight="false" outlineLevel="0" collapsed="false">
      <c r="B596" s="60"/>
    </row>
    <row r="597" customFormat="false" ht="15.75" hidden="false" customHeight="false" outlineLevel="0" collapsed="false">
      <c r="B597" s="60"/>
    </row>
    <row r="598" customFormat="false" ht="15.75" hidden="false" customHeight="false" outlineLevel="0" collapsed="false">
      <c r="B598" s="60"/>
    </row>
    <row r="599" customFormat="false" ht="15.75" hidden="false" customHeight="false" outlineLevel="0" collapsed="false">
      <c r="B599" s="60"/>
    </row>
    <row r="600" customFormat="false" ht="15.75" hidden="false" customHeight="false" outlineLevel="0" collapsed="false">
      <c r="B600" s="60"/>
    </row>
    <row r="601" customFormat="false" ht="15.75" hidden="false" customHeight="false" outlineLevel="0" collapsed="false">
      <c r="B601" s="60"/>
    </row>
    <row r="602" customFormat="false" ht="15.75" hidden="false" customHeight="false" outlineLevel="0" collapsed="false">
      <c r="B602" s="60"/>
    </row>
    <row r="603" customFormat="false" ht="15.75" hidden="false" customHeight="false" outlineLevel="0" collapsed="false">
      <c r="B603" s="60"/>
    </row>
    <row r="604" customFormat="false" ht="15.75" hidden="false" customHeight="false" outlineLevel="0" collapsed="false">
      <c r="B604" s="60"/>
    </row>
    <row r="605" customFormat="false" ht="15.75" hidden="false" customHeight="false" outlineLevel="0" collapsed="false">
      <c r="B605" s="60"/>
    </row>
    <row r="606" customFormat="false" ht="15.75" hidden="false" customHeight="false" outlineLevel="0" collapsed="false">
      <c r="B606" s="60"/>
    </row>
    <row r="607" customFormat="false" ht="15.75" hidden="false" customHeight="false" outlineLevel="0" collapsed="false">
      <c r="B607" s="60"/>
    </row>
    <row r="608" customFormat="false" ht="15.75" hidden="false" customHeight="false" outlineLevel="0" collapsed="false">
      <c r="B608" s="60"/>
    </row>
    <row r="609" customFormat="false" ht="15.75" hidden="false" customHeight="false" outlineLevel="0" collapsed="false">
      <c r="B609" s="60"/>
    </row>
    <row r="610" customFormat="false" ht="15.75" hidden="false" customHeight="false" outlineLevel="0" collapsed="false">
      <c r="B610" s="60"/>
    </row>
    <row r="611" customFormat="false" ht="15.75" hidden="false" customHeight="false" outlineLevel="0" collapsed="false">
      <c r="B611" s="60"/>
    </row>
    <row r="612" customFormat="false" ht="15.75" hidden="false" customHeight="false" outlineLevel="0" collapsed="false">
      <c r="B612" s="60"/>
    </row>
    <row r="613" customFormat="false" ht="15.75" hidden="false" customHeight="false" outlineLevel="0" collapsed="false">
      <c r="B613" s="60"/>
    </row>
    <row r="614" customFormat="false" ht="15.75" hidden="false" customHeight="false" outlineLevel="0" collapsed="false">
      <c r="B614" s="60"/>
    </row>
    <row r="615" customFormat="false" ht="15.75" hidden="false" customHeight="false" outlineLevel="0" collapsed="false">
      <c r="B615" s="60"/>
    </row>
    <row r="616" customFormat="false" ht="15.75" hidden="false" customHeight="false" outlineLevel="0" collapsed="false">
      <c r="B616" s="60"/>
    </row>
    <row r="617" customFormat="false" ht="15.75" hidden="false" customHeight="false" outlineLevel="0" collapsed="false">
      <c r="B617" s="60"/>
    </row>
    <row r="618" customFormat="false" ht="15.75" hidden="false" customHeight="false" outlineLevel="0" collapsed="false">
      <c r="B618" s="60"/>
    </row>
    <row r="619" customFormat="false" ht="15.75" hidden="false" customHeight="false" outlineLevel="0" collapsed="false">
      <c r="B619" s="60"/>
    </row>
    <row r="620" customFormat="false" ht="15.75" hidden="false" customHeight="false" outlineLevel="0" collapsed="false">
      <c r="B620" s="60"/>
    </row>
    <row r="621" customFormat="false" ht="15.75" hidden="false" customHeight="false" outlineLevel="0" collapsed="false">
      <c r="B621" s="60"/>
    </row>
    <row r="622" customFormat="false" ht="15.75" hidden="false" customHeight="false" outlineLevel="0" collapsed="false">
      <c r="B622" s="60"/>
    </row>
    <row r="623" customFormat="false" ht="15.75" hidden="false" customHeight="false" outlineLevel="0" collapsed="false">
      <c r="B623" s="60"/>
    </row>
    <row r="624" customFormat="false" ht="15.75" hidden="false" customHeight="false" outlineLevel="0" collapsed="false">
      <c r="B624" s="60"/>
    </row>
    <row r="625" customFormat="false" ht="15.75" hidden="false" customHeight="false" outlineLevel="0" collapsed="false">
      <c r="B625" s="60"/>
    </row>
    <row r="626" customFormat="false" ht="15.75" hidden="false" customHeight="false" outlineLevel="0" collapsed="false">
      <c r="B626" s="60"/>
    </row>
    <row r="627" customFormat="false" ht="15.75" hidden="false" customHeight="false" outlineLevel="0" collapsed="false">
      <c r="B627" s="60"/>
    </row>
    <row r="628" customFormat="false" ht="15.75" hidden="false" customHeight="false" outlineLevel="0" collapsed="false">
      <c r="B628" s="60"/>
    </row>
    <row r="629" customFormat="false" ht="15.75" hidden="false" customHeight="false" outlineLevel="0" collapsed="false">
      <c r="B629" s="60"/>
    </row>
    <row r="630" customFormat="false" ht="15.75" hidden="false" customHeight="false" outlineLevel="0" collapsed="false">
      <c r="B630" s="60"/>
    </row>
    <row r="631" customFormat="false" ht="15.75" hidden="false" customHeight="false" outlineLevel="0" collapsed="false">
      <c r="B631" s="60"/>
    </row>
    <row r="632" customFormat="false" ht="15.75" hidden="false" customHeight="false" outlineLevel="0" collapsed="false">
      <c r="B632" s="60"/>
    </row>
    <row r="633" customFormat="false" ht="15.75" hidden="false" customHeight="false" outlineLevel="0" collapsed="false">
      <c r="B633" s="60"/>
    </row>
    <row r="634" customFormat="false" ht="15.75" hidden="false" customHeight="false" outlineLevel="0" collapsed="false">
      <c r="B634" s="60"/>
    </row>
    <row r="635" customFormat="false" ht="15.75" hidden="false" customHeight="false" outlineLevel="0" collapsed="false">
      <c r="B635" s="60"/>
    </row>
    <row r="636" customFormat="false" ht="15.75" hidden="false" customHeight="false" outlineLevel="0" collapsed="false">
      <c r="B636" s="60"/>
    </row>
    <row r="637" customFormat="false" ht="15.75" hidden="false" customHeight="false" outlineLevel="0" collapsed="false">
      <c r="B637" s="60"/>
    </row>
    <row r="638" customFormat="false" ht="15.75" hidden="false" customHeight="false" outlineLevel="0" collapsed="false">
      <c r="B638" s="60"/>
    </row>
    <row r="639" customFormat="false" ht="15.75" hidden="false" customHeight="false" outlineLevel="0" collapsed="false">
      <c r="B639" s="60"/>
    </row>
    <row r="640" customFormat="false" ht="15.75" hidden="false" customHeight="false" outlineLevel="0" collapsed="false">
      <c r="B640" s="60"/>
    </row>
    <row r="641" customFormat="false" ht="15.75" hidden="false" customHeight="false" outlineLevel="0" collapsed="false">
      <c r="B641" s="60"/>
    </row>
    <row r="642" customFormat="false" ht="15.75" hidden="false" customHeight="false" outlineLevel="0" collapsed="false">
      <c r="B642" s="60"/>
    </row>
    <row r="643" customFormat="false" ht="15.75" hidden="false" customHeight="false" outlineLevel="0" collapsed="false">
      <c r="B643" s="60"/>
    </row>
    <row r="644" customFormat="false" ht="15.75" hidden="false" customHeight="false" outlineLevel="0" collapsed="false">
      <c r="B644" s="60"/>
    </row>
    <row r="645" customFormat="false" ht="15.75" hidden="false" customHeight="false" outlineLevel="0" collapsed="false">
      <c r="B645" s="60"/>
    </row>
    <row r="646" customFormat="false" ht="15.75" hidden="false" customHeight="false" outlineLevel="0" collapsed="false">
      <c r="B646" s="60"/>
    </row>
    <row r="647" customFormat="false" ht="15.75" hidden="false" customHeight="false" outlineLevel="0" collapsed="false">
      <c r="B647" s="60"/>
    </row>
    <row r="648" customFormat="false" ht="15.75" hidden="false" customHeight="false" outlineLevel="0" collapsed="false">
      <c r="B648" s="60"/>
    </row>
    <row r="649" customFormat="false" ht="15.75" hidden="false" customHeight="false" outlineLevel="0" collapsed="false">
      <c r="B649" s="60"/>
    </row>
    <row r="650" customFormat="false" ht="15.75" hidden="false" customHeight="false" outlineLevel="0" collapsed="false">
      <c r="B650" s="60"/>
    </row>
    <row r="651" customFormat="false" ht="15.75" hidden="false" customHeight="false" outlineLevel="0" collapsed="false">
      <c r="B651" s="60"/>
    </row>
    <row r="652" customFormat="false" ht="15.75" hidden="false" customHeight="false" outlineLevel="0" collapsed="false">
      <c r="B652" s="60"/>
    </row>
    <row r="653" customFormat="false" ht="15.75" hidden="false" customHeight="false" outlineLevel="0" collapsed="false">
      <c r="B653" s="60"/>
    </row>
    <row r="654" customFormat="false" ht="15.75" hidden="false" customHeight="false" outlineLevel="0" collapsed="false">
      <c r="B654" s="60"/>
    </row>
    <row r="655" customFormat="false" ht="15.75" hidden="false" customHeight="false" outlineLevel="0" collapsed="false">
      <c r="B655" s="60"/>
    </row>
    <row r="656" customFormat="false" ht="15.75" hidden="false" customHeight="false" outlineLevel="0" collapsed="false">
      <c r="B656" s="60"/>
    </row>
    <row r="657" customFormat="false" ht="15.75" hidden="false" customHeight="false" outlineLevel="0" collapsed="false">
      <c r="B657" s="60"/>
    </row>
    <row r="658" customFormat="false" ht="15.75" hidden="false" customHeight="false" outlineLevel="0" collapsed="false">
      <c r="B658" s="60"/>
    </row>
    <row r="659" customFormat="false" ht="15.75" hidden="false" customHeight="false" outlineLevel="0" collapsed="false">
      <c r="B659" s="60"/>
    </row>
    <row r="660" customFormat="false" ht="15.75" hidden="false" customHeight="false" outlineLevel="0" collapsed="false">
      <c r="B660" s="60"/>
    </row>
    <row r="661" customFormat="false" ht="15.75" hidden="false" customHeight="false" outlineLevel="0" collapsed="false">
      <c r="B661" s="60"/>
    </row>
    <row r="662" customFormat="false" ht="15.75" hidden="false" customHeight="false" outlineLevel="0" collapsed="false">
      <c r="B662" s="60"/>
    </row>
    <row r="663" customFormat="false" ht="15.75" hidden="false" customHeight="false" outlineLevel="0" collapsed="false">
      <c r="B663" s="60"/>
    </row>
    <row r="664" customFormat="false" ht="15.75" hidden="false" customHeight="false" outlineLevel="0" collapsed="false">
      <c r="B664" s="60"/>
    </row>
    <row r="665" customFormat="false" ht="15.75" hidden="false" customHeight="false" outlineLevel="0" collapsed="false">
      <c r="B665" s="60"/>
    </row>
    <row r="666" customFormat="false" ht="15.75" hidden="false" customHeight="false" outlineLevel="0" collapsed="false">
      <c r="B666" s="60"/>
    </row>
    <row r="667" customFormat="false" ht="15.75" hidden="false" customHeight="false" outlineLevel="0" collapsed="false">
      <c r="B667" s="60"/>
    </row>
    <row r="668" customFormat="false" ht="15.75" hidden="false" customHeight="false" outlineLevel="0" collapsed="false">
      <c r="B668" s="60"/>
    </row>
    <row r="669" customFormat="false" ht="15.75" hidden="false" customHeight="false" outlineLevel="0" collapsed="false">
      <c r="B669" s="60"/>
    </row>
    <row r="670" customFormat="false" ht="15.75" hidden="false" customHeight="false" outlineLevel="0" collapsed="false">
      <c r="B670" s="60"/>
    </row>
    <row r="671" customFormat="false" ht="15.75" hidden="false" customHeight="false" outlineLevel="0" collapsed="false">
      <c r="B671" s="60"/>
    </row>
    <row r="672" customFormat="false" ht="15.75" hidden="false" customHeight="false" outlineLevel="0" collapsed="false">
      <c r="B672" s="60"/>
    </row>
    <row r="673" customFormat="false" ht="15.75" hidden="false" customHeight="false" outlineLevel="0" collapsed="false">
      <c r="B673" s="60"/>
    </row>
    <row r="674" customFormat="false" ht="15.75" hidden="false" customHeight="false" outlineLevel="0" collapsed="false">
      <c r="B674" s="60"/>
    </row>
    <row r="675" customFormat="false" ht="15.75" hidden="false" customHeight="false" outlineLevel="0" collapsed="false">
      <c r="B675" s="60"/>
    </row>
    <row r="676" customFormat="false" ht="15.75" hidden="false" customHeight="false" outlineLevel="0" collapsed="false">
      <c r="B676" s="60"/>
    </row>
    <row r="677" customFormat="false" ht="15.75" hidden="false" customHeight="false" outlineLevel="0" collapsed="false">
      <c r="B677" s="60"/>
    </row>
    <row r="678" customFormat="false" ht="15.75" hidden="false" customHeight="false" outlineLevel="0" collapsed="false">
      <c r="B678" s="60"/>
    </row>
    <row r="679" customFormat="false" ht="15.75" hidden="false" customHeight="false" outlineLevel="0" collapsed="false">
      <c r="B679" s="60"/>
    </row>
    <row r="680" customFormat="false" ht="15.75" hidden="false" customHeight="false" outlineLevel="0" collapsed="false">
      <c r="B680" s="60"/>
    </row>
    <row r="681" customFormat="false" ht="15.75" hidden="false" customHeight="false" outlineLevel="0" collapsed="false">
      <c r="B681" s="60"/>
    </row>
    <row r="682" customFormat="false" ht="15.75" hidden="false" customHeight="false" outlineLevel="0" collapsed="false">
      <c r="B682" s="60"/>
    </row>
    <row r="683" customFormat="false" ht="15.75" hidden="false" customHeight="false" outlineLevel="0" collapsed="false">
      <c r="B683" s="60"/>
    </row>
    <row r="684" customFormat="false" ht="15.75" hidden="false" customHeight="false" outlineLevel="0" collapsed="false">
      <c r="B684" s="60"/>
    </row>
    <row r="685" customFormat="false" ht="15.75" hidden="false" customHeight="false" outlineLevel="0" collapsed="false">
      <c r="B685" s="60"/>
    </row>
    <row r="686" customFormat="false" ht="15.75" hidden="false" customHeight="false" outlineLevel="0" collapsed="false">
      <c r="B686" s="60"/>
    </row>
    <row r="687" customFormat="false" ht="15.75" hidden="false" customHeight="false" outlineLevel="0" collapsed="false">
      <c r="B687" s="60"/>
    </row>
    <row r="688" customFormat="false" ht="15.75" hidden="false" customHeight="false" outlineLevel="0" collapsed="false">
      <c r="B688" s="60"/>
    </row>
    <row r="689" customFormat="false" ht="15.75" hidden="false" customHeight="false" outlineLevel="0" collapsed="false">
      <c r="B689" s="60"/>
    </row>
    <row r="690" customFormat="false" ht="15.75" hidden="false" customHeight="false" outlineLevel="0" collapsed="false">
      <c r="B690" s="60"/>
    </row>
    <row r="691" customFormat="false" ht="15.75" hidden="false" customHeight="false" outlineLevel="0" collapsed="false">
      <c r="B691" s="60"/>
    </row>
    <row r="692" customFormat="false" ht="15.75" hidden="false" customHeight="false" outlineLevel="0" collapsed="false">
      <c r="B692" s="60"/>
    </row>
    <row r="693" customFormat="false" ht="15.75" hidden="false" customHeight="false" outlineLevel="0" collapsed="false">
      <c r="B693" s="60"/>
    </row>
    <row r="694" customFormat="false" ht="15.75" hidden="false" customHeight="false" outlineLevel="0" collapsed="false">
      <c r="B694" s="60"/>
    </row>
    <row r="695" customFormat="false" ht="15.75" hidden="false" customHeight="false" outlineLevel="0" collapsed="false">
      <c r="B695" s="60"/>
    </row>
    <row r="696" customFormat="false" ht="15.75" hidden="false" customHeight="false" outlineLevel="0" collapsed="false">
      <c r="B696" s="60"/>
    </row>
    <row r="697" customFormat="false" ht="15.75" hidden="false" customHeight="false" outlineLevel="0" collapsed="false">
      <c r="B697" s="60"/>
    </row>
    <row r="698" customFormat="false" ht="15.75" hidden="false" customHeight="false" outlineLevel="0" collapsed="false">
      <c r="B698" s="60"/>
    </row>
    <row r="699" customFormat="false" ht="15.75" hidden="false" customHeight="false" outlineLevel="0" collapsed="false">
      <c r="B699" s="60"/>
    </row>
    <row r="700" customFormat="false" ht="15.75" hidden="false" customHeight="false" outlineLevel="0" collapsed="false">
      <c r="B700" s="60"/>
    </row>
    <row r="701" customFormat="false" ht="15.75" hidden="false" customHeight="false" outlineLevel="0" collapsed="false">
      <c r="B701" s="60"/>
    </row>
    <row r="702" customFormat="false" ht="15.75" hidden="false" customHeight="false" outlineLevel="0" collapsed="false">
      <c r="B702" s="60"/>
    </row>
    <row r="703" customFormat="false" ht="15.75" hidden="false" customHeight="false" outlineLevel="0" collapsed="false">
      <c r="B703" s="60"/>
    </row>
    <row r="704" customFormat="false" ht="15.75" hidden="false" customHeight="false" outlineLevel="0" collapsed="false">
      <c r="B704" s="60"/>
    </row>
    <row r="705" customFormat="false" ht="15.75" hidden="false" customHeight="false" outlineLevel="0" collapsed="false">
      <c r="B705" s="60"/>
    </row>
    <row r="706" customFormat="false" ht="15.75" hidden="false" customHeight="false" outlineLevel="0" collapsed="false">
      <c r="B706" s="60"/>
    </row>
    <row r="707" customFormat="false" ht="15.75" hidden="false" customHeight="false" outlineLevel="0" collapsed="false">
      <c r="B707" s="60"/>
    </row>
    <row r="708" customFormat="false" ht="15.75" hidden="false" customHeight="false" outlineLevel="0" collapsed="false">
      <c r="B708" s="60"/>
    </row>
    <row r="709" customFormat="false" ht="15.75" hidden="false" customHeight="false" outlineLevel="0" collapsed="false">
      <c r="B709" s="60"/>
    </row>
    <row r="710" customFormat="false" ht="15.75" hidden="false" customHeight="false" outlineLevel="0" collapsed="false">
      <c r="B710" s="60"/>
    </row>
    <row r="711" customFormat="false" ht="15.75" hidden="false" customHeight="false" outlineLevel="0" collapsed="false">
      <c r="B711" s="60"/>
    </row>
    <row r="712" customFormat="false" ht="15.75" hidden="false" customHeight="false" outlineLevel="0" collapsed="false">
      <c r="B712" s="60"/>
    </row>
    <row r="713" customFormat="false" ht="15.75" hidden="false" customHeight="false" outlineLevel="0" collapsed="false">
      <c r="B713" s="60"/>
    </row>
    <row r="714" customFormat="false" ht="15.75" hidden="false" customHeight="false" outlineLevel="0" collapsed="false">
      <c r="B714" s="60"/>
    </row>
    <row r="715" customFormat="false" ht="15.75" hidden="false" customHeight="false" outlineLevel="0" collapsed="false">
      <c r="B715" s="60"/>
    </row>
    <row r="716" customFormat="false" ht="15.75" hidden="false" customHeight="false" outlineLevel="0" collapsed="false">
      <c r="B716" s="60"/>
    </row>
    <row r="717" customFormat="false" ht="15.75" hidden="false" customHeight="false" outlineLevel="0" collapsed="false">
      <c r="B717" s="60"/>
    </row>
    <row r="718" customFormat="false" ht="15.75" hidden="false" customHeight="false" outlineLevel="0" collapsed="false">
      <c r="B718" s="60"/>
    </row>
    <row r="719" customFormat="false" ht="15.75" hidden="false" customHeight="false" outlineLevel="0" collapsed="false">
      <c r="B719" s="60"/>
    </row>
    <row r="720" customFormat="false" ht="15.75" hidden="false" customHeight="false" outlineLevel="0" collapsed="false">
      <c r="B720" s="60"/>
    </row>
    <row r="721" customFormat="false" ht="15.75" hidden="false" customHeight="false" outlineLevel="0" collapsed="false">
      <c r="B721" s="60"/>
    </row>
    <row r="722" customFormat="false" ht="15.75" hidden="false" customHeight="false" outlineLevel="0" collapsed="false">
      <c r="B722" s="60"/>
    </row>
    <row r="723" customFormat="false" ht="15.75" hidden="false" customHeight="false" outlineLevel="0" collapsed="false">
      <c r="B723" s="60"/>
    </row>
    <row r="724" customFormat="false" ht="15.75" hidden="false" customHeight="false" outlineLevel="0" collapsed="false">
      <c r="B724" s="60"/>
    </row>
    <row r="725" customFormat="false" ht="15.75" hidden="false" customHeight="false" outlineLevel="0" collapsed="false">
      <c r="B725" s="60"/>
    </row>
    <row r="726" customFormat="false" ht="15.75" hidden="false" customHeight="false" outlineLevel="0" collapsed="false">
      <c r="B726" s="60"/>
    </row>
    <row r="727" customFormat="false" ht="15.75" hidden="false" customHeight="false" outlineLevel="0" collapsed="false">
      <c r="B727" s="60"/>
    </row>
    <row r="728" customFormat="false" ht="15.75" hidden="false" customHeight="false" outlineLevel="0" collapsed="false">
      <c r="B728" s="60"/>
    </row>
    <row r="729" customFormat="false" ht="15.75" hidden="false" customHeight="false" outlineLevel="0" collapsed="false">
      <c r="B729" s="60"/>
    </row>
    <row r="730" customFormat="false" ht="15.75" hidden="false" customHeight="false" outlineLevel="0" collapsed="false">
      <c r="B730" s="60"/>
    </row>
    <row r="731" customFormat="false" ht="15.75" hidden="false" customHeight="false" outlineLevel="0" collapsed="false">
      <c r="B731" s="60"/>
    </row>
    <row r="732" customFormat="false" ht="15.75" hidden="false" customHeight="false" outlineLevel="0" collapsed="false">
      <c r="B732" s="60"/>
    </row>
    <row r="733" customFormat="false" ht="15.75" hidden="false" customHeight="false" outlineLevel="0" collapsed="false">
      <c r="B733" s="60"/>
    </row>
    <row r="734" customFormat="false" ht="15.75" hidden="false" customHeight="false" outlineLevel="0" collapsed="false">
      <c r="B734" s="60"/>
    </row>
    <row r="735" customFormat="false" ht="15.75" hidden="false" customHeight="false" outlineLevel="0" collapsed="false">
      <c r="B735" s="60"/>
    </row>
    <row r="736" customFormat="false" ht="15.75" hidden="false" customHeight="false" outlineLevel="0" collapsed="false">
      <c r="B736" s="60"/>
    </row>
    <row r="737" customFormat="false" ht="15.75" hidden="false" customHeight="false" outlineLevel="0" collapsed="false">
      <c r="B737" s="60"/>
    </row>
    <row r="738" customFormat="false" ht="15.75" hidden="false" customHeight="false" outlineLevel="0" collapsed="false">
      <c r="B738" s="60"/>
    </row>
    <row r="739" customFormat="false" ht="15.75" hidden="false" customHeight="false" outlineLevel="0" collapsed="false">
      <c r="B739" s="60"/>
    </row>
    <row r="740" customFormat="false" ht="15.75" hidden="false" customHeight="false" outlineLevel="0" collapsed="false">
      <c r="B740" s="60"/>
    </row>
    <row r="741" customFormat="false" ht="15.75" hidden="false" customHeight="false" outlineLevel="0" collapsed="false">
      <c r="B741" s="60"/>
    </row>
    <row r="742" customFormat="false" ht="15.75" hidden="false" customHeight="false" outlineLevel="0" collapsed="false">
      <c r="B742" s="60"/>
    </row>
    <row r="743" customFormat="false" ht="15.75" hidden="false" customHeight="false" outlineLevel="0" collapsed="false">
      <c r="B743" s="60"/>
    </row>
    <row r="744" customFormat="false" ht="15.75" hidden="false" customHeight="false" outlineLevel="0" collapsed="false">
      <c r="B744" s="60"/>
    </row>
    <row r="745" customFormat="false" ht="15.75" hidden="false" customHeight="false" outlineLevel="0" collapsed="false">
      <c r="B745" s="60"/>
    </row>
    <row r="746" customFormat="false" ht="15.75" hidden="false" customHeight="false" outlineLevel="0" collapsed="false">
      <c r="B746" s="60"/>
    </row>
    <row r="747" customFormat="false" ht="15.75" hidden="false" customHeight="false" outlineLevel="0" collapsed="false">
      <c r="B747" s="60"/>
    </row>
    <row r="748" customFormat="false" ht="15.75" hidden="false" customHeight="false" outlineLevel="0" collapsed="false">
      <c r="B748" s="60"/>
    </row>
    <row r="749" customFormat="false" ht="15.75" hidden="false" customHeight="false" outlineLevel="0" collapsed="false">
      <c r="B749" s="60"/>
    </row>
    <row r="750" customFormat="false" ht="15.75" hidden="false" customHeight="false" outlineLevel="0" collapsed="false">
      <c r="B750" s="60"/>
    </row>
    <row r="751" customFormat="false" ht="15.75" hidden="false" customHeight="false" outlineLevel="0" collapsed="false">
      <c r="B751" s="60"/>
    </row>
    <row r="752" customFormat="false" ht="15.75" hidden="false" customHeight="false" outlineLevel="0" collapsed="false">
      <c r="B752" s="60"/>
    </row>
    <row r="753" customFormat="false" ht="15.75" hidden="false" customHeight="false" outlineLevel="0" collapsed="false">
      <c r="B753" s="60"/>
    </row>
    <row r="754" customFormat="false" ht="15.75" hidden="false" customHeight="false" outlineLevel="0" collapsed="false">
      <c r="B754" s="60"/>
    </row>
    <row r="755" customFormat="false" ht="15.75" hidden="false" customHeight="false" outlineLevel="0" collapsed="false">
      <c r="B755" s="60"/>
    </row>
    <row r="756" customFormat="false" ht="15.75" hidden="false" customHeight="false" outlineLevel="0" collapsed="false">
      <c r="B756" s="60"/>
    </row>
    <row r="757" customFormat="false" ht="15.75" hidden="false" customHeight="false" outlineLevel="0" collapsed="false">
      <c r="B757" s="60"/>
    </row>
    <row r="758" customFormat="false" ht="15.75" hidden="false" customHeight="false" outlineLevel="0" collapsed="false">
      <c r="B758" s="60"/>
    </row>
    <row r="759" customFormat="false" ht="15.75" hidden="false" customHeight="false" outlineLevel="0" collapsed="false">
      <c r="B759" s="60"/>
    </row>
    <row r="760" customFormat="false" ht="15.75" hidden="false" customHeight="false" outlineLevel="0" collapsed="false">
      <c r="B760" s="60"/>
    </row>
    <row r="761" customFormat="false" ht="15.75" hidden="false" customHeight="false" outlineLevel="0" collapsed="false">
      <c r="B761" s="60"/>
    </row>
    <row r="762" customFormat="false" ht="15.75" hidden="false" customHeight="false" outlineLevel="0" collapsed="false">
      <c r="B762" s="60"/>
    </row>
    <row r="763" customFormat="false" ht="15.75" hidden="false" customHeight="false" outlineLevel="0" collapsed="false">
      <c r="B763" s="60"/>
    </row>
    <row r="764" customFormat="false" ht="15.75" hidden="false" customHeight="false" outlineLevel="0" collapsed="false">
      <c r="B764" s="60"/>
    </row>
    <row r="765" customFormat="false" ht="15.75" hidden="false" customHeight="false" outlineLevel="0" collapsed="false">
      <c r="B765" s="60"/>
    </row>
    <row r="766" customFormat="false" ht="15.75" hidden="false" customHeight="false" outlineLevel="0" collapsed="false">
      <c r="B766" s="60"/>
    </row>
    <row r="767" customFormat="false" ht="15.75" hidden="false" customHeight="false" outlineLevel="0" collapsed="false">
      <c r="B767" s="60"/>
    </row>
    <row r="768" customFormat="false" ht="15.75" hidden="false" customHeight="false" outlineLevel="0" collapsed="false">
      <c r="B768" s="60"/>
    </row>
    <row r="769" customFormat="false" ht="15.75" hidden="false" customHeight="false" outlineLevel="0" collapsed="false">
      <c r="B769" s="60"/>
    </row>
    <row r="770" customFormat="false" ht="15.75" hidden="false" customHeight="false" outlineLevel="0" collapsed="false">
      <c r="B770" s="60"/>
    </row>
    <row r="771" customFormat="false" ht="15.75" hidden="false" customHeight="false" outlineLevel="0" collapsed="false">
      <c r="B771" s="60"/>
    </row>
    <row r="772" customFormat="false" ht="15.75" hidden="false" customHeight="false" outlineLevel="0" collapsed="false">
      <c r="B772" s="60"/>
    </row>
    <row r="773" customFormat="false" ht="15.75" hidden="false" customHeight="false" outlineLevel="0" collapsed="false">
      <c r="B773" s="60"/>
    </row>
    <row r="774" customFormat="false" ht="15.75" hidden="false" customHeight="false" outlineLevel="0" collapsed="false">
      <c r="B774" s="60"/>
    </row>
    <row r="775" customFormat="false" ht="15.75" hidden="false" customHeight="false" outlineLevel="0" collapsed="false">
      <c r="B775" s="60"/>
    </row>
    <row r="776" customFormat="false" ht="15.75" hidden="false" customHeight="false" outlineLevel="0" collapsed="false">
      <c r="B776" s="60"/>
    </row>
    <row r="777" customFormat="false" ht="15.75" hidden="false" customHeight="false" outlineLevel="0" collapsed="false">
      <c r="B777" s="60"/>
    </row>
    <row r="778" customFormat="false" ht="15.75" hidden="false" customHeight="false" outlineLevel="0" collapsed="false">
      <c r="B778" s="60"/>
    </row>
    <row r="779" customFormat="false" ht="15.75" hidden="false" customHeight="false" outlineLevel="0" collapsed="false">
      <c r="B779" s="60"/>
    </row>
    <row r="780" customFormat="false" ht="15.75" hidden="false" customHeight="false" outlineLevel="0" collapsed="false">
      <c r="B780" s="60"/>
    </row>
    <row r="781" customFormat="false" ht="15.75" hidden="false" customHeight="false" outlineLevel="0" collapsed="false">
      <c r="B781" s="60"/>
    </row>
    <row r="782" customFormat="false" ht="15.75" hidden="false" customHeight="false" outlineLevel="0" collapsed="false">
      <c r="B782" s="60"/>
    </row>
    <row r="783" customFormat="false" ht="15.75" hidden="false" customHeight="false" outlineLevel="0" collapsed="false">
      <c r="B783" s="60"/>
    </row>
    <row r="784" customFormat="false" ht="15.75" hidden="false" customHeight="false" outlineLevel="0" collapsed="false">
      <c r="B784" s="60"/>
    </row>
    <row r="785" customFormat="false" ht="15.75" hidden="false" customHeight="false" outlineLevel="0" collapsed="false">
      <c r="B785" s="60"/>
    </row>
    <row r="786" customFormat="false" ht="15.75" hidden="false" customHeight="false" outlineLevel="0" collapsed="false">
      <c r="B786" s="60"/>
    </row>
    <row r="787" customFormat="false" ht="15.75" hidden="false" customHeight="false" outlineLevel="0" collapsed="false">
      <c r="B787" s="60"/>
    </row>
    <row r="788" customFormat="false" ht="15.75" hidden="false" customHeight="false" outlineLevel="0" collapsed="false">
      <c r="B788" s="60"/>
    </row>
    <row r="789" customFormat="false" ht="15.75" hidden="false" customHeight="false" outlineLevel="0" collapsed="false">
      <c r="B789" s="60"/>
    </row>
    <row r="790" customFormat="false" ht="15.75" hidden="false" customHeight="false" outlineLevel="0" collapsed="false">
      <c r="B790" s="60"/>
    </row>
    <row r="791" customFormat="false" ht="15.75" hidden="false" customHeight="false" outlineLevel="0" collapsed="false">
      <c r="B791" s="60"/>
    </row>
    <row r="792" customFormat="false" ht="15.75" hidden="false" customHeight="false" outlineLevel="0" collapsed="false">
      <c r="B792" s="60"/>
    </row>
    <row r="793" customFormat="false" ht="15.75" hidden="false" customHeight="false" outlineLevel="0" collapsed="false">
      <c r="B793" s="60"/>
    </row>
    <row r="794" customFormat="false" ht="15.75" hidden="false" customHeight="false" outlineLevel="0" collapsed="false">
      <c r="B794" s="60"/>
    </row>
    <row r="795" customFormat="false" ht="15.75" hidden="false" customHeight="false" outlineLevel="0" collapsed="false">
      <c r="B795" s="60"/>
    </row>
    <row r="796" customFormat="false" ht="15.75" hidden="false" customHeight="false" outlineLevel="0" collapsed="false">
      <c r="B796" s="60"/>
    </row>
    <row r="797" customFormat="false" ht="15.75" hidden="false" customHeight="false" outlineLevel="0" collapsed="false">
      <c r="B797" s="60"/>
    </row>
    <row r="798" customFormat="false" ht="15.75" hidden="false" customHeight="false" outlineLevel="0" collapsed="false">
      <c r="B798" s="60"/>
    </row>
    <row r="799" customFormat="false" ht="15.75" hidden="false" customHeight="false" outlineLevel="0" collapsed="false">
      <c r="B799" s="60"/>
    </row>
    <row r="800" customFormat="false" ht="15.75" hidden="false" customHeight="false" outlineLevel="0" collapsed="false">
      <c r="B800" s="60"/>
    </row>
    <row r="801" customFormat="false" ht="15.75" hidden="false" customHeight="false" outlineLevel="0" collapsed="false">
      <c r="B801" s="60"/>
    </row>
    <row r="802" customFormat="false" ht="15.75" hidden="false" customHeight="false" outlineLevel="0" collapsed="false">
      <c r="B802" s="60"/>
    </row>
    <row r="803" customFormat="false" ht="15.75" hidden="false" customHeight="false" outlineLevel="0" collapsed="false">
      <c r="B803" s="60"/>
    </row>
    <row r="804" customFormat="false" ht="15.75" hidden="false" customHeight="false" outlineLevel="0" collapsed="false">
      <c r="B804" s="60"/>
    </row>
    <row r="805" customFormat="false" ht="15.75" hidden="false" customHeight="false" outlineLevel="0" collapsed="false">
      <c r="B805" s="60"/>
    </row>
    <row r="806" customFormat="false" ht="15.75" hidden="false" customHeight="false" outlineLevel="0" collapsed="false">
      <c r="B806" s="60"/>
    </row>
    <row r="807" customFormat="false" ht="15.75" hidden="false" customHeight="false" outlineLevel="0" collapsed="false">
      <c r="B807" s="60"/>
    </row>
    <row r="808" customFormat="false" ht="15.75" hidden="false" customHeight="false" outlineLevel="0" collapsed="false">
      <c r="B808" s="60"/>
    </row>
    <row r="809" customFormat="false" ht="15.75" hidden="false" customHeight="false" outlineLevel="0" collapsed="false">
      <c r="B809" s="60"/>
    </row>
    <row r="810" customFormat="false" ht="15.75" hidden="false" customHeight="false" outlineLevel="0" collapsed="false">
      <c r="B810" s="60"/>
    </row>
    <row r="811" customFormat="false" ht="15.75" hidden="false" customHeight="false" outlineLevel="0" collapsed="false">
      <c r="B811" s="60"/>
    </row>
    <row r="812" customFormat="false" ht="15.75" hidden="false" customHeight="false" outlineLevel="0" collapsed="false">
      <c r="B812" s="60"/>
    </row>
    <row r="813" customFormat="false" ht="15.75" hidden="false" customHeight="false" outlineLevel="0" collapsed="false">
      <c r="B813" s="60"/>
    </row>
    <row r="814" customFormat="false" ht="15.75" hidden="false" customHeight="false" outlineLevel="0" collapsed="false">
      <c r="B814" s="60"/>
    </row>
    <row r="815" customFormat="false" ht="15.75" hidden="false" customHeight="false" outlineLevel="0" collapsed="false">
      <c r="B815" s="60"/>
    </row>
    <row r="816" customFormat="false" ht="15.75" hidden="false" customHeight="false" outlineLevel="0" collapsed="false">
      <c r="B816" s="60"/>
    </row>
    <row r="817" customFormat="false" ht="15.75" hidden="false" customHeight="false" outlineLevel="0" collapsed="false">
      <c r="B817" s="60"/>
    </row>
    <row r="818" customFormat="false" ht="15.75" hidden="false" customHeight="false" outlineLevel="0" collapsed="false">
      <c r="B818" s="60"/>
    </row>
    <row r="819" customFormat="false" ht="15.75" hidden="false" customHeight="false" outlineLevel="0" collapsed="false">
      <c r="B819" s="60"/>
    </row>
    <row r="820" customFormat="false" ht="15.75" hidden="false" customHeight="false" outlineLevel="0" collapsed="false">
      <c r="B820" s="60"/>
    </row>
    <row r="821" customFormat="false" ht="15.75" hidden="false" customHeight="false" outlineLevel="0" collapsed="false">
      <c r="B821" s="60"/>
    </row>
    <row r="822" customFormat="false" ht="15.75" hidden="false" customHeight="false" outlineLevel="0" collapsed="false">
      <c r="B822" s="60"/>
    </row>
    <row r="823" customFormat="false" ht="15.75" hidden="false" customHeight="false" outlineLevel="0" collapsed="false">
      <c r="B823" s="60"/>
    </row>
    <row r="824" customFormat="false" ht="15.75" hidden="false" customHeight="false" outlineLevel="0" collapsed="false">
      <c r="B824" s="60"/>
    </row>
    <row r="825" customFormat="false" ht="15.75" hidden="false" customHeight="false" outlineLevel="0" collapsed="false">
      <c r="B825" s="60"/>
    </row>
    <row r="826" customFormat="false" ht="15.75" hidden="false" customHeight="false" outlineLevel="0" collapsed="false">
      <c r="B826" s="60"/>
    </row>
    <row r="827" customFormat="false" ht="15.75" hidden="false" customHeight="false" outlineLevel="0" collapsed="false">
      <c r="B827" s="60"/>
    </row>
    <row r="828" customFormat="false" ht="15.75" hidden="false" customHeight="false" outlineLevel="0" collapsed="false">
      <c r="B828" s="60"/>
    </row>
    <row r="829" customFormat="false" ht="15.75" hidden="false" customHeight="false" outlineLevel="0" collapsed="false">
      <c r="B829" s="60"/>
    </row>
    <row r="830" customFormat="false" ht="15.75" hidden="false" customHeight="false" outlineLevel="0" collapsed="false">
      <c r="B830" s="60"/>
    </row>
    <row r="831" customFormat="false" ht="15.75" hidden="false" customHeight="false" outlineLevel="0" collapsed="false">
      <c r="B831" s="60"/>
    </row>
    <row r="832" customFormat="false" ht="15.75" hidden="false" customHeight="false" outlineLevel="0" collapsed="false">
      <c r="B832" s="60"/>
    </row>
    <row r="833" customFormat="false" ht="15.75" hidden="false" customHeight="false" outlineLevel="0" collapsed="false">
      <c r="B833" s="60"/>
    </row>
    <row r="834" customFormat="false" ht="15.75" hidden="false" customHeight="false" outlineLevel="0" collapsed="false">
      <c r="B834" s="60"/>
    </row>
    <row r="835" customFormat="false" ht="15.75" hidden="false" customHeight="false" outlineLevel="0" collapsed="false">
      <c r="B835" s="60"/>
    </row>
    <row r="836" customFormat="false" ht="15.75" hidden="false" customHeight="false" outlineLevel="0" collapsed="false">
      <c r="B836" s="60"/>
    </row>
    <row r="837" customFormat="false" ht="15.75" hidden="false" customHeight="false" outlineLevel="0" collapsed="false">
      <c r="B837" s="60"/>
    </row>
    <row r="838" customFormat="false" ht="15.75" hidden="false" customHeight="false" outlineLevel="0" collapsed="false">
      <c r="B838" s="60"/>
    </row>
    <row r="839" customFormat="false" ht="15.75" hidden="false" customHeight="false" outlineLevel="0" collapsed="false">
      <c r="B839" s="60"/>
    </row>
    <row r="840" customFormat="false" ht="15.75" hidden="false" customHeight="false" outlineLevel="0" collapsed="false">
      <c r="B840" s="60"/>
    </row>
    <row r="841" customFormat="false" ht="15.75" hidden="false" customHeight="false" outlineLevel="0" collapsed="false">
      <c r="B841" s="60"/>
    </row>
    <row r="842" customFormat="false" ht="15.75" hidden="false" customHeight="false" outlineLevel="0" collapsed="false">
      <c r="B842" s="60"/>
    </row>
    <row r="843" customFormat="false" ht="15.75" hidden="false" customHeight="false" outlineLevel="0" collapsed="false">
      <c r="B843" s="60"/>
    </row>
    <row r="844" customFormat="false" ht="15.75" hidden="false" customHeight="false" outlineLevel="0" collapsed="false">
      <c r="B844" s="60"/>
    </row>
    <row r="845" customFormat="false" ht="15.75" hidden="false" customHeight="false" outlineLevel="0" collapsed="false">
      <c r="B845" s="60"/>
    </row>
    <row r="846" customFormat="false" ht="15.75" hidden="false" customHeight="false" outlineLevel="0" collapsed="false">
      <c r="B846" s="60"/>
    </row>
    <row r="847" customFormat="false" ht="15.75" hidden="false" customHeight="false" outlineLevel="0" collapsed="false">
      <c r="B847" s="60"/>
    </row>
    <row r="848" customFormat="false" ht="15.75" hidden="false" customHeight="false" outlineLevel="0" collapsed="false">
      <c r="B848" s="60"/>
    </row>
    <row r="849" customFormat="false" ht="15.75" hidden="false" customHeight="false" outlineLevel="0" collapsed="false">
      <c r="B849" s="60"/>
    </row>
    <row r="850" customFormat="false" ht="15.75" hidden="false" customHeight="false" outlineLevel="0" collapsed="false">
      <c r="B850" s="60"/>
    </row>
    <row r="851" customFormat="false" ht="15.75" hidden="false" customHeight="false" outlineLevel="0" collapsed="false">
      <c r="B851" s="60"/>
    </row>
    <row r="852" customFormat="false" ht="15.75" hidden="false" customHeight="false" outlineLevel="0" collapsed="false">
      <c r="B852" s="60"/>
    </row>
    <row r="853" customFormat="false" ht="15.75" hidden="false" customHeight="false" outlineLevel="0" collapsed="false">
      <c r="B853" s="60"/>
    </row>
    <row r="854" customFormat="false" ht="15.75" hidden="false" customHeight="false" outlineLevel="0" collapsed="false">
      <c r="B854" s="60"/>
    </row>
    <row r="855" customFormat="false" ht="15.75" hidden="false" customHeight="false" outlineLevel="0" collapsed="false">
      <c r="B855" s="60"/>
    </row>
    <row r="856" customFormat="false" ht="15.75" hidden="false" customHeight="false" outlineLevel="0" collapsed="false">
      <c r="B856" s="60"/>
    </row>
    <row r="857" customFormat="false" ht="15.75" hidden="false" customHeight="false" outlineLevel="0" collapsed="false">
      <c r="B857" s="60"/>
    </row>
    <row r="858" customFormat="false" ht="15.75" hidden="false" customHeight="false" outlineLevel="0" collapsed="false">
      <c r="B858" s="60"/>
    </row>
    <row r="859" customFormat="false" ht="15.75" hidden="false" customHeight="false" outlineLevel="0" collapsed="false">
      <c r="B859" s="60"/>
    </row>
    <row r="860" customFormat="false" ht="15.75" hidden="false" customHeight="false" outlineLevel="0" collapsed="false">
      <c r="B860" s="60"/>
    </row>
    <row r="861" customFormat="false" ht="15.75" hidden="false" customHeight="false" outlineLevel="0" collapsed="false">
      <c r="B861" s="60"/>
    </row>
    <row r="862" customFormat="false" ht="15.75" hidden="false" customHeight="false" outlineLevel="0" collapsed="false">
      <c r="B862" s="60"/>
    </row>
    <row r="863" customFormat="false" ht="15.75" hidden="false" customHeight="false" outlineLevel="0" collapsed="false">
      <c r="B863" s="60"/>
    </row>
    <row r="864" customFormat="false" ht="15.75" hidden="false" customHeight="false" outlineLevel="0" collapsed="false">
      <c r="B864" s="60"/>
    </row>
    <row r="865" customFormat="false" ht="15.75" hidden="false" customHeight="false" outlineLevel="0" collapsed="false">
      <c r="B865" s="60"/>
    </row>
    <row r="866" customFormat="false" ht="15.75" hidden="false" customHeight="false" outlineLevel="0" collapsed="false">
      <c r="B866" s="60"/>
    </row>
    <row r="867" customFormat="false" ht="15.75" hidden="false" customHeight="false" outlineLevel="0" collapsed="false">
      <c r="B867" s="60"/>
    </row>
    <row r="868" customFormat="false" ht="15.75" hidden="false" customHeight="false" outlineLevel="0" collapsed="false">
      <c r="B868" s="60"/>
    </row>
    <row r="869" customFormat="false" ht="15.75" hidden="false" customHeight="false" outlineLevel="0" collapsed="false">
      <c r="B869" s="60"/>
    </row>
    <row r="870" customFormat="false" ht="15.75" hidden="false" customHeight="false" outlineLevel="0" collapsed="false">
      <c r="B870" s="60"/>
    </row>
    <row r="871" customFormat="false" ht="15.75" hidden="false" customHeight="false" outlineLevel="0" collapsed="false">
      <c r="B871" s="60"/>
    </row>
    <row r="872" customFormat="false" ht="15.75" hidden="false" customHeight="false" outlineLevel="0" collapsed="false">
      <c r="B872" s="60"/>
    </row>
    <row r="873" customFormat="false" ht="15.75" hidden="false" customHeight="false" outlineLevel="0" collapsed="false">
      <c r="B873" s="60"/>
    </row>
    <row r="874" customFormat="false" ht="15.75" hidden="false" customHeight="false" outlineLevel="0" collapsed="false">
      <c r="B874" s="60"/>
    </row>
    <row r="875" customFormat="false" ht="15.75" hidden="false" customHeight="false" outlineLevel="0" collapsed="false">
      <c r="B875" s="60"/>
    </row>
    <row r="876" customFormat="false" ht="15.75" hidden="false" customHeight="false" outlineLevel="0" collapsed="false">
      <c r="B876" s="60"/>
    </row>
    <row r="877" customFormat="false" ht="15.75" hidden="false" customHeight="false" outlineLevel="0" collapsed="false">
      <c r="B877" s="60"/>
    </row>
    <row r="878" customFormat="false" ht="15.75" hidden="false" customHeight="false" outlineLevel="0" collapsed="false">
      <c r="B878" s="60"/>
    </row>
    <row r="879" customFormat="false" ht="15.75" hidden="false" customHeight="false" outlineLevel="0" collapsed="false">
      <c r="B879" s="60"/>
    </row>
    <row r="880" customFormat="false" ht="15.75" hidden="false" customHeight="false" outlineLevel="0" collapsed="false">
      <c r="B880" s="60"/>
    </row>
    <row r="881" customFormat="false" ht="15.75" hidden="false" customHeight="false" outlineLevel="0" collapsed="false">
      <c r="B881" s="60"/>
    </row>
    <row r="882" customFormat="false" ht="15.75" hidden="false" customHeight="false" outlineLevel="0" collapsed="false">
      <c r="B882" s="60"/>
    </row>
    <row r="883" customFormat="false" ht="15.75" hidden="false" customHeight="false" outlineLevel="0" collapsed="false">
      <c r="B883" s="60"/>
    </row>
    <row r="884" customFormat="false" ht="15.75" hidden="false" customHeight="false" outlineLevel="0" collapsed="false">
      <c r="B884" s="60"/>
    </row>
    <row r="885" customFormat="false" ht="15.75" hidden="false" customHeight="false" outlineLevel="0" collapsed="false">
      <c r="B885" s="60"/>
    </row>
    <row r="886" customFormat="false" ht="15.75" hidden="false" customHeight="false" outlineLevel="0" collapsed="false">
      <c r="B886" s="60"/>
    </row>
    <row r="887" customFormat="false" ht="15.75" hidden="false" customHeight="false" outlineLevel="0" collapsed="false">
      <c r="B887" s="60"/>
    </row>
    <row r="888" customFormat="false" ht="15.75" hidden="false" customHeight="false" outlineLevel="0" collapsed="false">
      <c r="B888" s="60"/>
    </row>
    <row r="889" customFormat="false" ht="15.75" hidden="false" customHeight="false" outlineLevel="0" collapsed="false">
      <c r="B889" s="60"/>
    </row>
    <row r="890" customFormat="false" ht="15.75" hidden="false" customHeight="false" outlineLevel="0" collapsed="false">
      <c r="B890" s="60"/>
    </row>
    <row r="891" customFormat="false" ht="15.75" hidden="false" customHeight="false" outlineLevel="0" collapsed="false">
      <c r="B891" s="60"/>
    </row>
    <row r="892" customFormat="false" ht="15.75" hidden="false" customHeight="false" outlineLevel="0" collapsed="false">
      <c r="B892" s="60"/>
    </row>
    <row r="893" customFormat="false" ht="15.75" hidden="false" customHeight="false" outlineLevel="0" collapsed="false">
      <c r="B893" s="60"/>
    </row>
    <row r="894" customFormat="false" ht="15.75" hidden="false" customHeight="false" outlineLevel="0" collapsed="false">
      <c r="B894" s="60"/>
    </row>
    <row r="895" customFormat="false" ht="15.75" hidden="false" customHeight="false" outlineLevel="0" collapsed="false">
      <c r="B895" s="60"/>
    </row>
    <row r="896" customFormat="false" ht="15.75" hidden="false" customHeight="false" outlineLevel="0" collapsed="false">
      <c r="B896" s="60"/>
    </row>
    <row r="897" customFormat="false" ht="15.75" hidden="false" customHeight="false" outlineLevel="0" collapsed="false">
      <c r="B897" s="60"/>
    </row>
    <row r="898" customFormat="false" ht="15.75" hidden="false" customHeight="false" outlineLevel="0" collapsed="false">
      <c r="B898" s="60"/>
    </row>
    <row r="899" customFormat="false" ht="15.75" hidden="false" customHeight="false" outlineLevel="0" collapsed="false">
      <c r="B899" s="60"/>
    </row>
    <row r="900" customFormat="false" ht="15.75" hidden="false" customHeight="false" outlineLevel="0" collapsed="false">
      <c r="B900" s="60"/>
    </row>
    <row r="901" customFormat="false" ht="15.75" hidden="false" customHeight="false" outlineLevel="0" collapsed="false">
      <c r="B901" s="60"/>
    </row>
    <row r="902" customFormat="false" ht="15.75" hidden="false" customHeight="false" outlineLevel="0" collapsed="false">
      <c r="B902" s="60"/>
    </row>
    <row r="903" customFormat="false" ht="15.75" hidden="false" customHeight="false" outlineLevel="0" collapsed="false">
      <c r="B903" s="60"/>
    </row>
    <row r="904" customFormat="false" ht="15.75" hidden="false" customHeight="false" outlineLevel="0" collapsed="false">
      <c r="B904" s="60"/>
    </row>
    <row r="905" customFormat="false" ht="15.75" hidden="false" customHeight="false" outlineLevel="0" collapsed="false">
      <c r="B905" s="60"/>
    </row>
    <row r="906" customFormat="false" ht="15.75" hidden="false" customHeight="false" outlineLevel="0" collapsed="false">
      <c r="B906" s="60"/>
    </row>
    <row r="907" customFormat="false" ht="15.75" hidden="false" customHeight="false" outlineLevel="0" collapsed="false">
      <c r="B907" s="60"/>
    </row>
    <row r="908" customFormat="false" ht="15.75" hidden="false" customHeight="false" outlineLevel="0" collapsed="false">
      <c r="B908" s="60"/>
    </row>
    <row r="909" customFormat="false" ht="15.75" hidden="false" customHeight="false" outlineLevel="0" collapsed="false">
      <c r="B909" s="60"/>
    </row>
    <row r="910" customFormat="false" ht="15.75" hidden="false" customHeight="false" outlineLevel="0" collapsed="false">
      <c r="B910" s="60"/>
    </row>
    <row r="911" customFormat="false" ht="15.75" hidden="false" customHeight="false" outlineLevel="0" collapsed="false">
      <c r="B911" s="60"/>
    </row>
    <row r="912" customFormat="false" ht="15.75" hidden="false" customHeight="false" outlineLevel="0" collapsed="false">
      <c r="B912" s="60"/>
    </row>
    <row r="913" customFormat="false" ht="15.75" hidden="false" customHeight="false" outlineLevel="0" collapsed="false">
      <c r="B913" s="60"/>
    </row>
    <row r="914" customFormat="false" ht="15.75" hidden="false" customHeight="false" outlineLevel="0" collapsed="false">
      <c r="B914" s="60"/>
    </row>
    <row r="915" customFormat="false" ht="15.75" hidden="false" customHeight="false" outlineLevel="0" collapsed="false">
      <c r="B915" s="60"/>
    </row>
    <row r="916" customFormat="false" ht="15.75" hidden="false" customHeight="false" outlineLevel="0" collapsed="false">
      <c r="B916" s="60"/>
    </row>
    <row r="917" customFormat="false" ht="15.75" hidden="false" customHeight="false" outlineLevel="0" collapsed="false">
      <c r="B917" s="60"/>
    </row>
    <row r="918" customFormat="false" ht="15.75" hidden="false" customHeight="false" outlineLevel="0" collapsed="false">
      <c r="B918" s="60"/>
    </row>
    <row r="919" customFormat="false" ht="15.75" hidden="false" customHeight="false" outlineLevel="0" collapsed="false">
      <c r="B919" s="60"/>
    </row>
    <row r="920" customFormat="false" ht="15.75" hidden="false" customHeight="false" outlineLevel="0" collapsed="false">
      <c r="B920" s="60"/>
    </row>
    <row r="921" customFormat="false" ht="15.75" hidden="false" customHeight="false" outlineLevel="0" collapsed="false">
      <c r="B921" s="60"/>
    </row>
    <row r="922" customFormat="false" ht="15.75" hidden="false" customHeight="false" outlineLevel="0" collapsed="false">
      <c r="B922" s="60"/>
    </row>
    <row r="923" customFormat="false" ht="15.75" hidden="false" customHeight="false" outlineLevel="0" collapsed="false">
      <c r="B923" s="60"/>
    </row>
    <row r="924" customFormat="false" ht="15.75" hidden="false" customHeight="false" outlineLevel="0" collapsed="false">
      <c r="B924" s="60"/>
    </row>
    <row r="925" customFormat="false" ht="15.75" hidden="false" customHeight="false" outlineLevel="0" collapsed="false">
      <c r="B925" s="60"/>
    </row>
    <row r="926" customFormat="false" ht="15.75" hidden="false" customHeight="false" outlineLevel="0" collapsed="false">
      <c r="B926" s="60"/>
    </row>
    <row r="927" customFormat="false" ht="15.75" hidden="false" customHeight="false" outlineLevel="0" collapsed="false">
      <c r="B927" s="60"/>
    </row>
    <row r="928" customFormat="false" ht="15.75" hidden="false" customHeight="false" outlineLevel="0" collapsed="false">
      <c r="B928" s="60"/>
    </row>
    <row r="929" customFormat="false" ht="15.75" hidden="false" customHeight="false" outlineLevel="0" collapsed="false">
      <c r="B929" s="60"/>
    </row>
    <row r="930" customFormat="false" ht="15.75" hidden="false" customHeight="false" outlineLevel="0" collapsed="false">
      <c r="B930" s="60"/>
    </row>
    <row r="931" customFormat="false" ht="15.75" hidden="false" customHeight="false" outlineLevel="0" collapsed="false">
      <c r="B931" s="60"/>
    </row>
    <row r="932" customFormat="false" ht="15.75" hidden="false" customHeight="false" outlineLevel="0" collapsed="false">
      <c r="B932" s="60"/>
    </row>
    <row r="933" customFormat="false" ht="15.75" hidden="false" customHeight="false" outlineLevel="0" collapsed="false">
      <c r="B933" s="60"/>
    </row>
    <row r="934" customFormat="false" ht="15.75" hidden="false" customHeight="false" outlineLevel="0" collapsed="false">
      <c r="B934" s="60"/>
    </row>
    <row r="935" customFormat="false" ht="15.75" hidden="false" customHeight="false" outlineLevel="0" collapsed="false">
      <c r="B935" s="60"/>
    </row>
    <row r="936" customFormat="false" ht="15.75" hidden="false" customHeight="false" outlineLevel="0" collapsed="false">
      <c r="B936" s="60"/>
    </row>
    <row r="937" customFormat="false" ht="15.75" hidden="false" customHeight="false" outlineLevel="0" collapsed="false">
      <c r="B937" s="60"/>
    </row>
    <row r="938" customFormat="false" ht="15.75" hidden="false" customHeight="false" outlineLevel="0" collapsed="false">
      <c r="B938" s="60"/>
    </row>
    <row r="939" customFormat="false" ht="15.75" hidden="false" customHeight="false" outlineLevel="0" collapsed="false">
      <c r="B939" s="60"/>
    </row>
    <row r="940" customFormat="false" ht="15.75" hidden="false" customHeight="false" outlineLevel="0" collapsed="false">
      <c r="B940" s="60"/>
    </row>
    <row r="941" customFormat="false" ht="15.75" hidden="false" customHeight="false" outlineLevel="0" collapsed="false">
      <c r="B941" s="60"/>
    </row>
    <row r="942" customFormat="false" ht="15.75" hidden="false" customHeight="false" outlineLevel="0" collapsed="false">
      <c r="B942" s="60"/>
    </row>
    <row r="943" customFormat="false" ht="15.75" hidden="false" customHeight="false" outlineLevel="0" collapsed="false">
      <c r="B943" s="60"/>
    </row>
    <row r="944" customFormat="false" ht="15.75" hidden="false" customHeight="false" outlineLevel="0" collapsed="false">
      <c r="B944" s="60"/>
    </row>
    <row r="945" customFormat="false" ht="15.75" hidden="false" customHeight="false" outlineLevel="0" collapsed="false">
      <c r="B945" s="60"/>
    </row>
    <row r="946" customFormat="false" ht="15.75" hidden="false" customHeight="false" outlineLevel="0" collapsed="false">
      <c r="B946" s="60"/>
    </row>
    <row r="947" customFormat="false" ht="15.75" hidden="false" customHeight="false" outlineLevel="0" collapsed="false">
      <c r="B947" s="60"/>
    </row>
    <row r="948" customFormat="false" ht="15.75" hidden="false" customHeight="false" outlineLevel="0" collapsed="false">
      <c r="B948" s="60"/>
    </row>
    <row r="949" customFormat="false" ht="15.75" hidden="false" customHeight="false" outlineLevel="0" collapsed="false">
      <c r="B949" s="60"/>
    </row>
    <row r="950" customFormat="false" ht="15.75" hidden="false" customHeight="false" outlineLevel="0" collapsed="false">
      <c r="B950" s="60"/>
    </row>
    <row r="951" customFormat="false" ht="15.75" hidden="false" customHeight="false" outlineLevel="0" collapsed="false">
      <c r="B951" s="60"/>
    </row>
    <row r="952" customFormat="false" ht="15.75" hidden="false" customHeight="false" outlineLevel="0" collapsed="false">
      <c r="B952" s="60"/>
    </row>
    <row r="953" customFormat="false" ht="15.75" hidden="false" customHeight="false" outlineLevel="0" collapsed="false">
      <c r="B953" s="60"/>
    </row>
    <row r="954" customFormat="false" ht="15.75" hidden="false" customHeight="false" outlineLevel="0" collapsed="false">
      <c r="B954" s="60"/>
    </row>
    <row r="955" customFormat="false" ht="15.75" hidden="false" customHeight="false" outlineLevel="0" collapsed="false">
      <c r="B955" s="60"/>
    </row>
    <row r="956" customFormat="false" ht="15.75" hidden="false" customHeight="false" outlineLevel="0" collapsed="false">
      <c r="B956" s="60"/>
    </row>
    <row r="957" customFormat="false" ht="15.75" hidden="false" customHeight="false" outlineLevel="0" collapsed="false">
      <c r="B957" s="60"/>
    </row>
    <row r="958" customFormat="false" ht="15.75" hidden="false" customHeight="false" outlineLevel="0" collapsed="false">
      <c r="B958" s="60"/>
    </row>
    <row r="959" customFormat="false" ht="15.75" hidden="false" customHeight="false" outlineLevel="0" collapsed="false">
      <c r="B959" s="60"/>
    </row>
    <row r="960" customFormat="false" ht="15.75" hidden="false" customHeight="false" outlineLevel="0" collapsed="false">
      <c r="B960" s="60"/>
    </row>
    <row r="961" customFormat="false" ht="15.75" hidden="false" customHeight="false" outlineLevel="0" collapsed="false">
      <c r="B961" s="60"/>
    </row>
    <row r="962" customFormat="false" ht="15.75" hidden="false" customHeight="false" outlineLevel="0" collapsed="false">
      <c r="B962" s="60"/>
    </row>
    <row r="963" customFormat="false" ht="15.75" hidden="false" customHeight="false" outlineLevel="0" collapsed="false">
      <c r="B963" s="60"/>
    </row>
    <row r="964" customFormat="false" ht="15.75" hidden="false" customHeight="false" outlineLevel="0" collapsed="false">
      <c r="B964" s="60"/>
    </row>
    <row r="965" customFormat="false" ht="15.75" hidden="false" customHeight="false" outlineLevel="0" collapsed="false">
      <c r="B965" s="60"/>
    </row>
    <row r="966" customFormat="false" ht="15.75" hidden="false" customHeight="false" outlineLevel="0" collapsed="false">
      <c r="B966" s="60"/>
    </row>
    <row r="967" customFormat="false" ht="15.75" hidden="false" customHeight="false" outlineLevel="0" collapsed="false">
      <c r="B967" s="60"/>
    </row>
    <row r="968" customFormat="false" ht="15.75" hidden="false" customHeight="false" outlineLevel="0" collapsed="false">
      <c r="B968" s="60"/>
    </row>
    <row r="969" customFormat="false" ht="15.75" hidden="false" customHeight="false" outlineLevel="0" collapsed="false">
      <c r="B969" s="60"/>
    </row>
    <row r="970" customFormat="false" ht="15.75" hidden="false" customHeight="false" outlineLevel="0" collapsed="false">
      <c r="B970" s="60"/>
    </row>
    <row r="971" customFormat="false" ht="15.75" hidden="false" customHeight="false" outlineLevel="0" collapsed="false">
      <c r="B971" s="60"/>
    </row>
    <row r="972" customFormat="false" ht="15.75" hidden="false" customHeight="false" outlineLevel="0" collapsed="false">
      <c r="B972" s="60"/>
    </row>
    <row r="973" customFormat="false" ht="15.75" hidden="false" customHeight="false" outlineLevel="0" collapsed="false">
      <c r="B973" s="60"/>
    </row>
    <row r="974" customFormat="false" ht="15.75" hidden="false" customHeight="false" outlineLevel="0" collapsed="false">
      <c r="B974" s="60"/>
    </row>
    <row r="975" customFormat="false" ht="15.75" hidden="false" customHeight="false" outlineLevel="0" collapsed="false">
      <c r="B975" s="60"/>
    </row>
    <row r="976" customFormat="false" ht="15.75" hidden="false" customHeight="false" outlineLevel="0" collapsed="false">
      <c r="B976" s="60"/>
    </row>
    <row r="977" customFormat="false" ht="15.75" hidden="false" customHeight="false" outlineLevel="0" collapsed="false">
      <c r="B977" s="60"/>
    </row>
    <row r="978" customFormat="false" ht="15.75" hidden="false" customHeight="false" outlineLevel="0" collapsed="false">
      <c r="B978" s="60"/>
    </row>
    <row r="979" customFormat="false" ht="15.75" hidden="false" customHeight="false" outlineLevel="0" collapsed="false">
      <c r="B979" s="60"/>
    </row>
    <row r="980" customFormat="false" ht="15.75" hidden="false" customHeight="false" outlineLevel="0" collapsed="false">
      <c r="B980" s="60"/>
    </row>
    <row r="981" customFormat="false" ht="15.75" hidden="false" customHeight="false" outlineLevel="0" collapsed="false">
      <c r="B981" s="60"/>
    </row>
    <row r="982" customFormat="false" ht="15.75" hidden="false" customHeight="false" outlineLevel="0" collapsed="false">
      <c r="B982" s="60"/>
    </row>
    <row r="983" customFormat="false" ht="15.75" hidden="false" customHeight="false" outlineLevel="0" collapsed="false">
      <c r="B983" s="60"/>
    </row>
    <row r="984" customFormat="false" ht="15.75" hidden="false" customHeight="false" outlineLevel="0" collapsed="false">
      <c r="B984" s="60"/>
    </row>
    <row r="985" customFormat="false" ht="15.75" hidden="false" customHeight="false" outlineLevel="0" collapsed="false">
      <c r="B985" s="60"/>
    </row>
    <row r="986" customFormat="false" ht="15.75" hidden="false" customHeight="false" outlineLevel="0" collapsed="false">
      <c r="B986" s="60"/>
    </row>
    <row r="987" customFormat="false" ht="15.75" hidden="false" customHeight="false" outlineLevel="0" collapsed="false">
      <c r="B987" s="60"/>
    </row>
    <row r="988" customFormat="false" ht="15.75" hidden="false" customHeight="false" outlineLevel="0" collapsed="false">
      <c r="B988" s="60"/>
    </row>
    <row r="989" customFormat="false" ht="15.75" hidden="false" customHeight="false" outlineLevel="0" collapsed="false">
      <c r="B989" s="60"/>
    </row>
    <row r="990" customFormat="false" ht="15.75" hidden="false" customHeight="false" outlineLevel="0" collapsed="false">
      <c r="B990" s="60"/>
    </row>
    <row r="991" customFormat="false" ht="15.75" hidden="false" customHeight="false" outlineLevel="0" collapsed="false">
      <c r="B991" s="60"/>
    </row>
    <row r="992" customFormat="false" ht="15.75" hidden="false" customHeight="false" outlineLevel="0" collapsed="false">
      <c r="B992" s="60"/>
    </row>
    <row r="993" customFormat="false" ht="15.75" hidden="false" customHeight="false" outlineLevel="0" collapsed="false">
      <c r="B993" s="60"/>
    </row>
    <row r="994" customFormat="false" ht="15.75" hidden="false" customHeight="false" outlineLevel="0" collapsed="false">
      <c r="B994" s="60"/>
    </row>
    <row r="995" customFormat="false" ht="15.75" hidden="false" customHeight="false" outlineLevel="0" collapsed="false">
      <c r="B995" s="60"/>
    </row>
    <row r="996" customFormat="false" ht="15.75" hidden="false" customHeight="false" outlineLevel="0" collapsed="false">
      <c r="B996" s="60"/>
    </row>
    <row r="997" customFormat="false" ht="15.75" hidden="false" customHeight="false" outlineLevel="0" collapsed="false">
      <c r="B997" s="60"/>
    </row>
    <row r="998" customFormat="false" ht="15.75" hidden="false" customHeight="false" outlineLevel="0" collapsed="false">
      <c r="B998" s="60"/>
    </row>
    <row r="999" customFormat="false" ht="15.75" hidden="false" customHeight="false" outlineLevel="0" collapsed="false">
      <c r="B999" s="60"/>
    </row>
    <row r="1000" customFormat="false" ht="15.75" hidden="false" customHeight="false" outlineLevel="0" collapsed="false">
      <c r="B1000" s="60"/>
    </row>
    <row r="1001" customFormat="false" ht="15.75" hidden="false" customHeight="false" outlineLevel="0" collapsed="false">
      <c r="B1001" s="60"/>
    </row>
    <row r="1002" customFormat="false" ht="15.75" hidden="false" customHeight="false" outlineLevel="0" collapsed="false">
      <c r="B1002" s="60"/>
    </row>
    <row r="1003" customFormat="false" ht="15.75" hidden="false" customHeight="false" outlineLevel="0" collapsed="false">
      <c r="B1003" s="60"/>
    </row>
  </sheetData>
  <mergeCells count="1">
    <mergeCell ref="A17:C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0.63"/>
    <col collapsed="false" customWidth="true" hidden="false" outlineLevel="0" max="2" min="2" style="0" width="14.46"/>
    <col collapsed="false" customWidth="true" hidden="false" outlineLevel="0" max="3" min="3" style="0" width="30.64"/>
    <col collapsed="false" customWidth="true" hidden="false" outlineLevel="0" max="4" min="4" style="0" width="29.5"/>
    <col collapsed="false" customWidth="true" hidden="false" outlineLevel="0" max="5" min="5" style="0" width="11.5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64" t="s">
        <v>75</v>
      </c>
      <c r="B1" s="64" t="s">
        <v>76</v>
      </c>
      <c r="C1" s="64" t="s">
        <v>77</v>
      </c>
      <c r="D1" s="64" t="s">
        <v>78</v>
      </c>
      <c r="E1" s="64" t="s">
        <v>79</v>
      </c>
      <c r="F1" s="65"/>
      <c r="G1" s="66"/>
    </row>
    <row r="2" customFormat="false" ht="15" hidden="false" customHeight="false" outlineLevel="0" collapsed="false">
      <c r="A2" s="67" t="n">
        <v>2027</v>
      </c>
      <c r="B2" s="67" t="s">
        <v>38</v>
      </c>
      <c r="C2" s="68" t="s">
        <v>80</v>
      </c>
      <c r="D2" s="68" t="s">
        <v>81</v>
      </c>
      <c r="E2" s="69" t="n">
        <v>30000</v>
      </c>
      <c r="F2" s="66"/>
      <c r="G2" s="66"/>
    </row>
    <row r="3" customFormat="false" ht="15" hidden="false" customHeight="false" outlineLevel="0" collapsed="false">
      <c r="A3" s="67" t="n">
        <v>2027</v>
      </c>
      <c r="B3" s="67" t="s">
        <v>38</v>
      </c>
      <c r="C3" s="68" t="s">
        <v>82</v>
      </c>
      <c r="D3" s="68" t="s">
        <v>83</v>
      </c>
      <c r="E3" s="69" t="n">
        <v>20000</v>
      </c>
      <c r="F3" s="66"/>
      <c r="G3" s="66"/>
    </row>
    <row r="4" customFormat="false" ht="15" hidden="false" customHeight="false" outlineLevel="0" collapsed="false">
      <c r="A4" s="67" t="n">
        <v>2027</v>
      </c>
      <c r="B4" s="67" t="s">
        <v>38</v>
      </c>
      <c r="C4" s="68" t="s">
        <v>84</v>
      </c>
      <c r="D4" s="68" t="s">
        <v>85</v>
      </c>
      <c r="E4" s="69" t="n">
        <v>10000</v>
      </c>
      <c r="F4" s="66"/>
      <c r="G4" s="66"/>
    </row>
    <row r="5" customFormat="false" ht="15" hidden="false" customHeight="false" outlineLevel="0" collapsed="false">
      <c r="A5" s="67" t="n">
        <v>2027</v>
      </c>
      <c r="B5" s="67" t="s">
        <v>45</v>
      </c>
      <c r="C5" s="68" t="s">
        <v>86</v>
      </c>
      <c r="D5" s="68" t="s">
        <v>87</v>
      </c>
      <c r="E5" s="69" t="n">
        <v>2000</v>
      </c>
      <c r="F5" s="66"/>
      <c r="G5" s="66"/>
    </row>
    <row r="6" customFormat="false" ht="15" hidden="false" customHeight="false" outlineLevel="0" collapsed="false">
      <c r="A6" s="67" t="n">
        <v>2027</v>
      </c>
      <c r="B6" s="67" t="s">
        <v>51</v>
      </c>
      <c r="C6" s="68" t="s">
        <v>88</v>
      </c>
      <c r="D6" s="68" t="s">
        <v>89</v>
      </c>
      <c r="E6" s="69" t="n">
        <v>2000</v>
      </c>
      <c r="F6" s="66"/>
      <c r="G6" s="66"/>
    </row>
    <row r="7" customFormat="false" ht="15" hidden="false" customHeight="false" outlineLevel="0" collapsed="false">
      <c r="A7" s="67" t="n">
        <v>2027</v>
      </c>
      <c r="B7" s="67" t="s">
        <v>90</v>
      </c>
      <c r="C7" s="68" t="s">
        <v>91</v>
      </c>
      <c r="D7" s="68" t="s">
        <v>92</v>
      </c>
      <c r="E7" s="69" t="n">
        <v>2000</v>
      </c>
      <c r="F7" s="66"/>
      <c r="G7" s="66"/>
    </row>
    <row r="8" customFormat="false" ht="15" hidden="false" customHeight="false" outlineLevel="0" collapsed="false">
      <c r="A8" s="64" t="s">
        <v>93</v>
      </c>
      <c r="B8" s="64"/>
      <c r="C8" s="64"/>
      <c r="D8" s="64"/>
      <c r="E8" s="70" t="n">
        <f aca="false">SUM(E2:E7)</f>
        <v>66000</v>
      </c>
      <c r="F8" s="66"/>
      <c r="G8" s="66"/>
    </row>
    <row r="9" customFormat="false" ht="15" hidden="false" customHeight="false" outlineLevel="0" collapsed="false">
      <c r="A9" s="67" t="n">
        <v>2028</v>
      </c>
      <c r="B9" s="67" t="s">
        <v>38</v>
      </c>
      <c r="C9" s="68" t="s">
        <v>94</v>
      </c>
      <c r="D9" s="68" t="s">
        <v>95</v>
      </c>
      <c r="E9" s="69" t="n">
        <v>10000</v>
      </c>
      <c r="F9" s="66"/>
      <c r="G9" s="66"/>
    </row>
    <row r="10" customFormat="false" ht="15" hidden="false" customHeight="false" outlineLevel="0" collapsed="false">
      <c r="A10" s="67" t="n">
        <v>2028</v>
      </c>
      <c r="B10" s="67" t="s">
        <v>38</v>
      </c>
      <c r="C10" s="68" t="s">
        <v>96</v>
      </c>
      <c r="D10" s="68" t="s">
        <v>97</v>
      </c>
      <c r="E10" s="69" t="n">
        <v>10000</v>
      </c>
      <c r="F10" s="66"/>
      <c r="G10" s="66"/>
    </row>
    <row r="11" customFormat="false" ht="15" hidden="false" customHeight="false" outlineLevel="0" collapsed="false">
      <c r="A11" s="67" t="n">
        <v>2028</v>
      </c>
      <c r="B11" s="67" t="s">
        <v>66</v>
      </c>
      <c r="C11" s="68" t="s">
        <v>98</v>
      </c>
      <c r="D11" s="68" t="s">
        <v>99</v>
      </c>
      <c r="E11" s="69" t="n">
        <v>4000</v>
      </c>
      <c r="F11" s="66"/>
      <c r="G11" s="66"/>
    </row>
    <row r="12" customFormat="false" ht="15" hidden="false" customHeight="false" outlineLevel="0" collapsed="false">
      <c r="A12" s="67" t="n">
        <v>2028</v>
      </c>
      <c r="B12" s="67" t="s">
        <v>38</v>
      </c>
      <c r="C12" s="68" t="s">
        <v>100</v>
      </c>
      <c r="D12" s="68" t="s">
        <v>101</v>
      </c>
      <c r="E12" s="69" t="n">
        <v>20000</v>
      </c>
      <c r="F12" s="66"/>
      <c r="G12" s="66"/>
    </row>
    <row r="13" customFormat="false" ht="15" hidden="false" customHeight="false" outlineLevel="0" collapsed="false">
      <c r="A13" s="67" t="n">
        <v>2028</v>
      </c>
      <c r="B13" s="67" t="s">
        <v>45</v>
      </c>
      <c r="C13" s="68" t="s">
        <v>102</v>
      </c>
      <c r="D13" s="68" t="s">
        <v>103</v>
      </c>
      <c r="E13" s="69" t="n">
        <v>2000</v>
      </c>
      <c r="F13" s="66"/>
      <c r="G13" s="66"/>
    </row>
    <row r="14" customFormat="false" ht="15" hidden="false" customHeight="false" outlineLevel="0" collapsed="false">
      <c r="A14" s="64" t="s">
        <v>104</v>
      </c>
      <c r="B14" s="64"/>
      <c r="C14" s="64"/>
      <c r="D14" s="64"/>
      <c r="E14" s="70" t="n">
        <f aca="false">SUM(E9:E13)</f>
        <v>46000</v>
      </c>
      <c r="F14" s="66"/>
      <c r="G14" s="66"/>
    </row>
    <row r="15" customFormat="false" ht="15" hidden="false" customHeight="false" outlineLevel="0" collapsed="false">
      <c r="A15" s="64" t="s">
        <v>105</v>
      </c>
      <c r="B15" s="64"/>
      <c r="C15" s="64"/>
      <c r="D15" s="64"/>
      <c r="E15" s="70" t="n">
        <f aca="false">E8+E14</f>
        <v>112000</v>
      </c>
      <c r="F15" s="66"/>
      <c r="G15" s="66"/>
    </row>
    <row r="16" customFormat="false" ht="15.75" hidden="false" customHeight="false" outlineLevel="0" collapsed="false">
      <c r="A16" s="60"/>
      <c r="B16" s="60"/>
      <c r="C16" s="60"/>
      <c r="D16" s="60"/>
      <c r="E16" s="60"/>
      <c r="F16" s="60"/>
      <c r="G16" s="60"/>
    </row>
    <row r="17" customFormat="false" ht="15.75" hidden="false" customHeight="false" outlineLevel="0" collapsed="false">
      <c r="A17" s="60"/>
      <c r="B17" s="60"/>
      <c r="C17" s="60"/>
      <c r="D17" s="60"/>
      <c r="E17" s="60"/>
      <c r="F17" s="60"/>
      <c r="G17" s="60"/>
    </row>
    <row r="18" customFormat="false" ht="15.75" hidden="false" customHeight="false" outlineLevel="0" collapsed="false">
      <c r="A18" s="60"/>
      <c r="B18" s="60"/>
      <c r="C18" s="60"/>
      <c r="D18" s="60"/>
      <c r="E18" s="60"/>
      <c r="F18" s="60"/>
      <c r="G18" s="60"/>
    </row>
    <row r="19" customFormat="false" ht="15.75" hidden="false" customHeight="false" outlineLevel="0" collapsed="false">
      <c r="A19" s="60"/>
      <c r="B19" s="60"/>
      <c r="C19" s="60"/>
      <c r="D19" s="60"/>
      <c r="E19" s="60"/>
      <c r="F19" s="60"/>
      <c r="G19" s="60"/>
    </row>
  </sheetData>
  <mergeCells count="3">
    <mergeCell ref="A8:D8"/>
    <mergeCell ref="A14:D14"/>
    <mergeCell ref="A15:D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14.24"/>
    <col collapsed="false" customWidth="true" hidden="false" outlineLevel="0" max="3" min="3" style="0" width="15"/>
    <col collapsed="false" customWidth="true" hidden="false" outlineLevel="0" max="6" min="4" style="0" width="12.88"/>
  </cols>
  <sheetData>
    <row r="1" customFormat="false" ht="15.75" hidden="false" customHeight="false" outlineLevel="0" collapsed="false">
      <c r="A1" s="71" t="s">
        <v>106</v>
      </c>
      <c r="B1" s="71" t="s">
        <v>107</v>
      </c>
      <c r="C1" s="71" t="s">
        <v>108</v>
      </c>
      <c r="D1" s="71" t="s">
        <v>109</v>
      </c>
      <c r="E1" s="71" t="s">
        <v>110</v>
      </c>
      <c r="F1" s="71" t="s">
        <v>111</v>
      </c>
      <c r="G1" s="71" t="s">
        <v>112</v>
      </c>
      <c r="H1" s="71" t="s">
        <v>113</v>
      </c>
    </row>
    <row r="2" customFormat="false" ht="15.75" hidden="false" customHeight="false" outlineLevel="0" collapsed="false">
      <c r="A2" s="60" t="s">
        <v>114</v>
      </c>
      <c r="B2" s="60" t="n">
        <v>60</v>
      </c>
      <c r="C2" s="60" t="n">
        <v>3</v>
      </c>
      <c r="D2" s="60" t="n">
        <v>75</v>
      </c>
      <c r="E2" s="60" t="n">
        <v>0.15</v>
      </c>
      <c r="F2" s="60" t="s">
        <v>115</v>
      </c>
      <c r="G2" s="60" t="n">
        <v>5841.41</v>
      </c>
      <c r="H2" s="72" t="n">
        <f aca="false">G2*1.22</f>
        <v>7126.5202</v>
      </c>
    </row>
    <row r="3" customFormat="false" ht="15.75" hidden="false" customHeight="false" outlineLevel="0" collapsed="false">
      <c r="A3" s="60" t="s">
        <v>116</v>
      </c>
      <c r="B3" s="60" t="n">
        <v>65</v>
      </c>
      <c r="C3" s="60" t="n">
        <v>5</v>
      </c>
      <c r="D3" s="60" t="n">
        <v>100</v>
      </c>
      <c r="E3" s="60"/>
      <c r="F3" s="60" t="s">
        <v>115</v>
      </c>
      <c r="G3" s="72" t="n">
        <v>4861</v>
      </c>
      <c r="H3" s="72" t="n">
        <f aca="false">G3*1.22</f>
        <v>5930.42</v>
      </c>
    </row>
    <row r="4" customFormat="false" ht="15.75" hidden="false" customHeight="false" outlineLevel="0" collapsed="false">
      <c r="A4" s="60"/>
      <c r="B4" s="60"/>
      <c r="C4" s="60"/>
      <c r="D4" s="60"/>
      <c r="E4" s="60"/>
      <c r="F4" s="60"/>
      <c r="G4" s="60"/>
      <c r="H4" s="60"/>
    </row>
    <row r="5" customFormat="false" ht="15.75" hidden="false" customHeight="false" outlineLevel="0" collapsed="false">
      <c r="A5" s="60"/>
      <c r="B5" s="60"/>
      <c r="C5" s="60"/>
      <c r="D5" s="60"/>
      <c r="E5" s="60"/>
      <c r="F5" s="60"/>
      <c r="G5" s="60"/>
      <c r="H5" s="60"/>
    </row>
    <row r="6" customFormat="false" ht="15.75" hidden="false" customHeight="false" outlineLevel="0" collapsed="false">
      <c r="A6" s="60"/>
      <c r="B6" s="60"/>
      <c r="C6" s="60"/>
      <c r="D6" s="60"/>
      <c r="E6" s="60"/>
      <c r="F6" s="60"/>
      <c r="G6" s="60"/>
      <c r="H6" s="60"/>
    </row>
    <row r="7" customFormat="false" ht="15.75" hidden="false" customHeight="false" outlineLevel="0" collapsed="false">
      <c r="A7" s="60"/>
      <c r="B7" s="60"/>
      <c r="C7" s="60"/>
      <c r="D7" s="60"/>
      <c r="E7" s="60"/>
      <c r="F7" s="60"/>
      <c r="G7" s="60"/>
      <c r="H7" s="60"/>
    </row>
    <row r="8" customFormat="false" ht="15.75" hidden="false" customHeight="false" outlineLevel="0" collapsed="false">
      <c r="A8" s="60"/>
      <c r="B8" s="60"/>
      <c r="C8" s="60"/>
      <c r="D8" s="60"/>
      <c r="E8" s="60"/>
      <c r="F8" s="60"/>
      <c r="G8" s="60"/>
      <c r="H8" s="60"/>
    </row>
    <row r="9" customFormat="false" ht="15.75" hidden="false" customHeight="false" outlineLevel="0" collapsed="false">
      <c r="A9" s="60"/>
      <c r="B9" s="60"/>
      <c r="C9" s="60"/>
      <c r="D9" s="60"/>
      <c r="E9" s="60"/>
      <c r="F9" s="60"/>
      <c r="G9" s="60"/>
      <c r="H9" s="60"/>
    </row>
    <row r="10" customFormat="false" ht="15.75" hidden="false" customHeight="false" outlineLevel="0" collapsed="false">
      <c r="A10" s="60"/>
      <c r="B10" s="60"/>
      <c r="C10" s="60"/>
      <c r="D10" s="60"/>
      <c r="E10" s="60"/>
      <c r="F10" s="60"/>
      <c r="G10" s="60"/>
      <c r="H10" s="60"/>
    </row>
    <row r="11" customFormat="false" ht="15.75" hidden="false" customHeight="false" outlineLevel="0" collapsed="false">
      <c r="A11" s="60"/>
      <c r="B11" s="60"/>
      <c r="C11" s="60"/>
      <c r="D11" s="60"/>
      <c r="E11" s="60"/>
      <c r="F11" s="60"/>
      <c r="G11" s="60"/>
      <c r="H11" s="60"/>
    </row>
    <row r="12" customFormat="false" ht="15.75" hidden="false" customHeight="false" outlineLevel="0" collapsed="false">
      <c r="A12" s="60"/>
      <c r="B12" s="60"/>
      <c r="C12" s="60"/>
      <c r="D12" s="60"/>
      <c r="E12" s="60"/>
      <c r="F12" s="60"/>
      <c r="G12" s="60"/>
      <c r="H12" s="6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2026-07-28T12:30:47Z</dcterms:modified>
  <cp:revision>1</cp:revision>
  <dc:subject/>
  <dc:title/>
</cp:coreProperties>
</file>