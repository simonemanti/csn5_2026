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sti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Preventivi" sheetId="3" state="visible" r:id="rId3"/>
    <sheet xmlns:r="http://schemas.openxmlformats.org/officeDocument/2006/relationships" name="Istruzioni" sheetId="4" state="visible" r:id="rId4"/>
  </sheets>
  <definedNames>
    <definedName name="_xlnm._FilterDatabase" localSheetId="0" hidden="1">'Dettaglio costi'!$A$4:$M$20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[$€-it-IT]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29" customWidth="1" min="4" max="4"/>
    <col width="43" customWidth="1" min="5" max="5"/>
    <col width="14" customWidth="1" min="6" max="6"/>
    <col width="17" customWidth="1" min="7" max="7"/>
    <col width="10" customWidth="1" min="8" max="8"/>
    <col width="18" customWidth="1" min="9" max="9"/>
    <col width="15" customWidth="1" min="10" max="10"/>
    <col width="22" customWidth="1" min="11" max="11"/>
    <col width="14" customWidth="1" min="12" max="12"/>
    <col width="43" customWidth="1" min="13" max="13"/>
  </cols>
  <sheetData>
    <row r="1" ht="26" customHeight="1">
      <c r="A1" s="1" t="inlineStr">
        <is>
          <t>CSN5 Grant Giovani 2026 — Dettaglio dei costi</t>
        </is>
      </c>
    </row>
    <row r="2">
      <c r="A2" s="2" t="inlineStr">
        <is>
          <t>Compilare le celle gialle. Gli importi sono IVA inclusa; indicare eventuali eccezioni nelle note. Limite: 75.000 € per anno.</t>
        </is>
      </c>
    </row>
    <row r="4">
      <c r="A4" s="3" t="inlineStr">
        <is>
          <t>ID</t>
        </is>
      </c>
      <c r="B4" s="3" t="inlineStr">
        <is>
          <t>Anno</t>
        </is>
      </c>
      <c r="C4" s="3" t="inlineStr">
        <is>
          <t>Categoria</t>
        </is>
      </c>
      <c r="D4" s="3" t="inlineStr">
        <is>
          <t>Componente / attività</t>
        </is>
      </c>
      <c r="E4" s="3" t="inlineStr">
        <is>
          <t>Specifiche o calcolo</t>
        </is>
      </c>
      <c r="F4" s="3" t="inlineStr">
        <is>
          <t>WP</t>
        </is>
      </c>
      <c r="G4" s="3" t="inlineStr">
        <is>
          <t>Costo unitario (€)</t>
        </is>
      </c>
      <c r="H4" s="3" t="inlineStr">
        <is>
          <t>Quantità</t>
        </is>
      </c>
      <c r="I4" s="3" t="inlineStr">
        <is>
          <t>Costo richiesto (€)</t>
        </is>
      </c>
      <c r="J4" s="3" t="inlineStr">
        <is>
          <t>In-kind (€)</t>
        </is>
      </c>
      <c r="K4" s="3" t="inlineStr">
        <is>
          <t>Fornitore / fonte</t>
        </is>
      </c>
      <c r="L4" s="3" t="inlineStr">
        <is>
          <t>Preventivo</t>
        </is>
      </c>
      <c r="M4" s="3" t="inlineStr">
        <is>
          <t>Note / giustificazione</t>
        </is>
      </c>
    </row>
    <row r="5">
      <c r="A5" s="4" t="inlineStr">
        <is>
          <t>C01</t>
        </is>
      </c>
      <c r="B5" s="4" t="n">
        <v>1</v>
      </c>
      <c r="C5" s="4" t="inlineStr">
        <is>
          <t>Attrezzature</t>
        </is>
      </c>
      <c r="D5" s="4" t="inlineStr">
        <is>
          <t>Cristallo/i analizzatore/i</t>
        </is>
      </c>
      <c r="E5" s="4" t="inlineStr">
        <is>
          <t>Materiale, geometria, dimensioni e intervallo energetico da definire dopo WP1</t>
        </is>
      </c>
      <c r="F5" s="4" t="inlineStr">
        <is>
          <t>WP2</t>
        </is>
      </c>
      <c r="G5" s="5" t="n"/>
      <c r="H5" s="6" t="n"/>
      <c r="I5" s="7">
        <f>IF(OR(G5="",H5=""),"",G5*H5)</f>
        <v/>
      </c>
      <c r="J5" s="7" t="n">
        <v>0</v>
      </c>
      <c r="K5" s="4" t="inlineStr"/>
      <c r="L5" s="4" t="inlineStr">
        <is>
          <t>Q01</t>
        </is>
      </c>
      <c r="M5" s="4" t="inlineStr">
        <is>
          <t>Ottica selezionata in base al compromesso efficienza–risoluzione</t>
        </is>
      </c>
    </row>
    <row r="6">
      <c r="A6" s="4" t="inlineStr">
        <is>
          <t>C02</t>
        </is>
      </c>
      <c r="B6" s="4" t="n">
        <v>1</v>
      </c>
      <c r="C6" s="4" t="inlineStr">
        <is>
          <t>Attrezzature</t>
        </is>
      </c>
      <c r="D6" s="4" t="inlineStr">
        <is>
          <t>Stadi motorizzati e controller</t>
        </is>
      </c>
      <c r="E6" s="4" t="inlineStr">
        <is>
          <t>Numero assi, corsa, carico e ripetibilità</t>
        </is>
      </c>
      <c r="F6" s="4" t="inlineStr">
        <is>
          <t>WP2</t>
        </is>
      </c>
      <c r="G6" s="5" t="n"/>
      <c r="H6" s="6" t="n"/>
      <c r="I6" s="7">
        <f>IF(OR(G6="",H6=""),"",G6*H6)</f>
        <v/>
      </c>
      <c r="J6" s="7" t="n">
        <v>0</v>
      </c>
      <c r="K6" s="4" t="inlineStr"/>
      <c r="L6" s="4" t="inlineStr">
        <is>
          <t>Q02</t>
        </is>
      </c>
      <c r="M6" s="4" t="inlineStr">
        <is>
          <t>Scansione energetica e allineamento riproducibile</t>
        </is>
      </c>
    </row>
    <row r="7">
      <c r="A7" s="4" t="inlineStr">
        <is>
          <t>C03</t>
        </is>
      </c>
      <c r="B7" s="4" t="n">
        <v>1</v>
      </c>
      <c r="C7" s="4" t="inlineStr">
        <is>
          <t>Attrezzature</t>
        </is>
      </c>
      <c r="D7" s="4" t="inlineStr">
        <is>
          <t>Rivelatore SDD ed elettronica</t>
        </is>
      </c>
      <c r="E7" s="4" t="inlineStr">
        <is>
          <t>Area, risoluzione, rate capability e pile-up da giustificare quantitativamente</t>
        </is>
      </c>
      <c r="F7" s="4" t="inlineStr">
        <is>
          <t>WP2</t>
        </is>
      </c>
      <c r="G7" s="5" t="n"/>
      <c r="H7" s="4" t="n">
        <v>1</v>
      </c>
      <c r="I7" s="7">
        <f>IF(OR(G7="",H7=""),"",G7*H7)</f>
        <v/>
      </c>
      <c r="J7" s="7" t="n">
        <v>0</v>
      </c>
      <c r="K7" s="4" t="inlineStr"/>
      <c r="L7" s="4" t="inlineStr">
        <is>
          <t>Q03</t>
        </is>
      </c>
      <c r="M7" s="4" t="inlineStr">
        <is>
          <t>Confrontare esplicitamente con gli SDD già disponibili</t>
        </is>
      </c>
    </row>
    <row r="8">
      <c r="A8" s="4" t="inlineStr">
        <is>
          <t>C04</t>
        </is>
      </c>
      <c r="B8" s="4" t="n">
        <v>1</v>
      </c>
      <c r="C8" s="4" t="inlineStr">
        <is>
          <t>Attrezzature</t>
        </is>
      </c>
      <c r="D8" s="4" t="inlineStr">
        <is>
          <t>Meccanica e supporti di precisione</t>
        </is>
      </c>
      <c r="E8" s="4" t="inlineStr">
        <is>
          <t>Supporti cristallo, campione e rivelatore; componenti da vuoto se necessari</t>
        </is>
      </c>
      <c r="F8" s="4" t="inlineStr">
        <is>
          <t>WP2</t>
        </is>
      </c>
      <c r="G8" s="5" t="n"/>
      <c r="H8" s="6" t="n"/>
      <c r="I8" s="7">
        <f>IF(OR(G8="",H8=""),"",G8*H8)</f>
        <v/>
      </c>
      <c r="J8" s="7" t="n">
        <v>0</v>
      </c>
      <c r="K8" s="4" t="inlineStr"/>
      <c r="L8" s="4" t="inlineStr">
        <is>
          <t>Q04</t>
        </is>
      </c>
      <c r="M8" s="4" t="inlineStr">
        <is>
          <t>Integrazione del prototipo</t>
        </is>
      </c>
    </row>
    <row r="9">
      <c r="A9" s="4" t="inlineStr">
        <is>
          <t>C05</t>
        </is>
      </c>
      <c r="B9" s="4" t="n">
        <v>1</v>
      </c>
      <c r="C9" s="4" t="inlineStr">
        <is>
          <t>Calcolo</t>
        </is>
      </c>
      <c r="D9" s="4" t="inlineStr">
        <is>
          <t>Workstation di simulazione e analisi</t>
        </is>
      </c>
      <c r="E9" s="4" t="inlineStr">
        <is>
          <t>Configurazione CPU/GPU/RAM motivata dai carichi SHADOW4/Geant4</t>
        </is>
      </c>
      <c r="F9" s="4" t="inlineStr">
        <is>
          <t>WP1</t>
        </is>
      </c>
      <c r="G9" s="5" t="n"/>
      <c r="H9" s="4" t="n">
        <v>1</v>
      </c>
      <c r="I9" s="7">
        <f>IF(OR(G9="",H9=""),"",G9*H9)</f>
        <v/>
      </c>
      <c r="J9" s="7" t="n">
        <v>0</v>
      </c>
      <c r="K9" s="4" t="inlineStr"/>
      <c r="L9" s="4" t="inlineStr">
        <is>
          <t>Q05</t>
        </is>
      </c>
      <c r="M9" s="4" t="inlineStr">
        <is>
          <t>Eliminare se sono disponibili risorse adeguate</t>
        </is>
      </c>
    </row>
    <row r="10">
      <c r="A10" s="4" t="inlineStr">
        <is>
          <t>C06</t>
        </is>
      </c>
      <c r="B10" s="4" t="n">
        <v>1</v>
      </c>
      <c r="C10" s="4" t="inlineStr">
        <is>
          <t>Consumi</t>
        </is>
      </c>
      <c r="D10" s="4" t="inlineStr">
        <is>
          <t>Campioni e materiali di calibrazione</t>
        </is>
      </c>
      <c r="E10" s="4" t="inlineStr">
        <is>
          <t>Target, standard, finestre, supporti e gas</t>
        </is>
      </c>
      <c r="F10" s="4" t="inlineStr">
        <is>
          <t>WP3</t>
        </is>
      </c>
      <c r="G10" s="5" t="n"/>
      <c r="H10" s="4" t="n">
        <v>1</v>
      </c>
      <c r="I10" s="7">
        <f>IF(OR(G10="",H10=""),"",G10*H10)</f>
        <v/>
      </c>
      <c r="J10" s="7" t="n">
        <v>0</v>
      </c>
      <c r="K10" s="4" t="inlineStr"/>
      <c r="L10" s="4" t="inlineStr"/>
      <c r="M10" s="4" t="inlineStr">
        <is>
          <t>Specificare benchmark ed edge &gt;20 keV</t>
        </is>
      </c>
    </row>
    <row r="11">
      <c r="A11" s="4" t="inlineStr">
        <is>
          <t>C07</t>
        </is>
      </c>
      <c r="B11" s="4" t="n">
        <v>1</v>
      </c>
      <c r="C11" s="4" t="inlineStr">
        <is>
          <t>Servizi</t>
        </is>
      </c>
      <c r="D11" s="4" t="inlineStr">
        <is>
          <t>Lavorazioni meccaniche specialistiche</t>
        </is>
      </c>
      <c r="E11" s="4" t="inlineStr">
        <is>
          <t>Lavorazioni non realizzabili internamente</t>
        </is>
      </c>
      <c r="F11" s="4" t="inlineStr">
        <is>
          <t>WP2</t>
        </is>
      </c>
      <c r="G11" s="5" t="n"/>
      <c r="H11" s="4" t="n">
        <v>1</v>
      </c>
      <c r="I11" s="7">
        <f>IF(OR(G11="",H11=""),"",G11*H11)</f>
        <v/>
      </c>
      <c r="J11" s="7" t="n">
        <v>0</v>
      </c>
      <c r="K11" s="4" t="inlineStr"/>
      <c r="L11" s="4" t="inlineStr">
        <is>
          <t>Q06</t>
        </is>
      </c>
      <c r="M11" s="4" t="inlineStr">
        <is>
          <t>Distinguere dai contributi dei servizi LNF</t>
        </is>
      </c>
    </row>
    <row r="12">
      <c r="A12" s="4" t="inlineStr">
        <is>
          <t>C08</t>
        </is>
      </c>
      <c r="B12" s="4" t="n">
        <v>1</v>
      </c>
      <c r="C12" s="4" t="inlineStr">
        <is>
          <t>Missioni</t>
        </is>
      </c>
      <c r="D12" s="4" t="inlineStr">
        <is>
          <t>Campagna sperimentale 1</t>
        </is>
      </c>
      <c r="E12" s="4" t="inlineStr">
        <is>
          <t>Sede; n. persone × n. giorni × costo/giorno + viaggio</t>
        </is>
      </c>
      <c r="F12" s="4" t="inlineStr">
        <is>
          <t>WP3</t>
        </is>
      </c>
      <c r="G12" s="5" t="n"/>
      <c r="H12" s="4" t="n">
        <v>1</v>
      </c>
      <c r="I12" s="7">
        <f>IF(OR(G12="",H12=""),"",G12*H12)</f>
        <v/>
      </c>
      <c r="J12" s="7" t="n">
        <v>0</v>
      </c>
      <c r="K12" s="4" t="inlineStr"/>
      <c r="L12" s="4" t="inlineStr"/>
      <c r="M12" s="4" t="inlineStr">
        <is>
          <t>Dettagliare destinazione e scopo</t>
        </is>
      </c>
    </row>
    <row r="13">
      <c r="A13" s="4" t="inlineStr">
        <is>
          <t>C09</t>
        </is>
      </c>
      <c r="B13" s="4" t="n">
        <v>2</v>
      </c>
      <c r="C13" s="4" t="inlineStr">
        <is>
          <t>Attrezzature</t>
        </is>
      </c>
      <c r="D13" s="4" t="inlineStr">
        <is>
          <t>Cella operando / ambiente campione</t>
        </is>
      </c>
      <c r="E13" s="4" t="inlineStr">
        <is>
          <t>Geometria, controllo e compatibilità con fluorescenza XAS</t>
        </is>
      </c>
      <c r="F13" s="4" t="inlineStr">
        <is>
          <t>WP4</t>
        </is>
      </c>
      <c r="G13" s="5" t="n"/>
      <c r="H13" s="4" t="n">
        <v>1</v>
      </c>
      <c r="I13" s="7">
        <f>IF(OR(G13="",H13=""),"",G13*H13)</f>
        <v/>
      </c>
      <c r="J13" s="7" t="n">
        <v>0</v>
      </c>
      <c r="K13" s="4" t="inlineStr"/>
      <c r="L13" s="4" t="inlineStr">
        <is>
          <t>Q07</t>
        </is>
      </c>
      <c r="M13" s="4" t="inlineStr">
        <is>
          <t>Acquistare solo dopo la validazione della configurazione</t>
        </is>
      </c>
    </row>
    <row r="14">
      <c r="A14" s="4" t="inlineStr">
        <is>
          <t>C10</t>
        </is>
      </c>
      <c r="B14" s="4" t="n">
        <v>2</v>
      </c>
      <c r="C14" s="4" t="inlineStr">
        <is>
          <t>Consumi</t>
        </is>
      </c>
      <c r="D14" s="4" t="inlineStr">
        <is>
          <t>Campioni e materiali per misure operando</t>
        </is>
      </c>
      <c r="E14" s="4" t="inlineStr">
        <is>
          <t>Materiali attivi, celle, finestre, elettroliti o gas</t>
        </is>
      </c>
      <c r="F14" s="4" t="inlineStr">
        <is>
          <t>WP4</t>
        </is>
      </c>
      <c r="G14" s="5" t="n"/>
      <c r="H14" s="4" t="n">
        <v>1</v>
      </c>
      <c r="I14" s="7">
        <f>IF(OR(G14="",H14=""),"",G14*H14)</f>
        <v/>
      </c>
      <c r="J14" s="7" t="n">
        <v>0</v>
      </c>
      <c r="K14" s="4" t="inlineStr"/>
      <c r="L14" s="4" t="inlineStr"/>
      <c r="M14" s="4" t="inlineStr">
        <is>
          <t>Collegare agli osservabili XAS previsti</t>
        </is>
      </c>
    </row>
    <row r="15">
      <c r="A15" s="4" t="inlineStr">
        <is>
          <t>C11</t>
        </is>
      </c>
      <c r="B15" s="4" t="n">
        <v>2</v>
      </c>
      <c r="C15" s="4" t="inlineStr">
        <is>
          <t>Servizi</t>
        </is>
      </c>
      <c r="D15" s="4" t="inlineStr">
        <is>
          <t>Lavorazioni e integrazione finale</t>
        </is>
      </c>
      <c r="E15" s="4" t="inlineStr">
        <is>
          <t>Adeguamenti dopo la validazione del prototipo</t>
        </is>
      </c>
      <c r="F15" s="4" t="inlineStr">
        <is>
          <t>WP2/WP4</t>
        </is>
      </c>
      <c r="G15" s="5" t="n"/>
      <c r="H15" s="4" t="n">
        <v>1</v>
      </c>
      <c r="I15" s="7">
        <f>IF(OR(G15="",H15=""),"",G15*H15)</f>
        <v/>
      </c>
      <c r="J15" s="7" t="n">
        <v>0</v>
      </c>
      <c r="K15" s="4" t="inlineStr"/>
      <c r="L15" s="4" t="inlineStr">
        <is>
          <t>Q08</t>
        </is>
      </c>
      <c r="M15" s="4" t="inlineStr"/>
    </row>
    <row r="16">
      <c r="A16" s="4" t="inlineStr">
        <is>
          <t>C12</t>
        </is>
      </c>
      <c r="B16" s="4" t="n">
        <v>2</v>
      </c>
      <c r="C16" s="4" t="inlineStr">
        <is>
          <t>Missioni</t>
        </is>
      </c>
      <c r="D16" s="4" t="inlineStr">
        <is>
          <t>Campagne di validazione / operando</t>
        </is>
      </c>
      <c r="E16" s="4" t="inlineStr">
        <is>
          <t>Sede; n. campagne × persone × giorni, viaggio incluso</t>
        </is>
      </c>
      <c r="F16" s="4" t="inlineStr">
        <is>
          <t>WP3/WP4</t>
        </is>
      </c>
      <c r="G16" s="5" t="n"/>
      <c r="H16" s="4" t="n">
        <v>1</v>
      </c>
      <c r="I16" s="7">
        <f>IF(OR(G16="",H16=""),"",G16*H16)</f>
        <v/>
      </c>
      <c r="J16" s="7" t="n">
        <v>0</v>
      </c>
      <c r="K16" s="4" t="inlineStr"/>
      <c r="L16" s="4" t="inlineStr"/>
      <c r="M16" s="4" t="inlineStr">
        <is>
          <t>Separare le campagne se hanno sedi o finalità diverse</t>
        </is>
      </c>
    </row>
    <row r="17">
      <c r="A17" s="4" t="inlineStr">
        <is>
          <t>C13</t>
        </is>
      </c>
      <c r="B17" s="4" t="n">
        <v>2</v>
      </c>
      <c r="C17" s="4" t="inlineStr">
        <is>
          <t>Missioni</t>
        </is>
      </c>
      <c r="D17" s="4" t="inlineStr">
        <is>
          <t>Conferenza con presentazione orale</t>
        </is>
      </c>
      <c r="E17" s="4" t="inlineStr">
        <is>
          <t>Indicare la conferenza o il criterio di selezione</t>
        </is>
      </c>
      <c r="F17" s="4" t="inlineStr">
        <is>
          <t>Disseminazione</t>
        </is>
      </c>
      <c r="G17" s="5" t="n"/>
      <c r="H17" s="4" t="n">
        <v>1</v>
      </c>
      <c r="I17" s="7">
        <f>IF(OR(G17="",H17=""),"",G17*H17)</f>
        <v/>
      </c>
      <c r="J17" s="7" t="n">
        <v>0</v>
      </c>
      <c r="K17" s="4" t="inlineStr"/>
      <c r="L17" s="4" t="inlineStr"/>
      <c r="M17" s="4" t="inlineStr">
        <is>
          <t>Ammissibile se associata a presentazione orale</t>
        </is>
      </c>
    </row>
    <row r="18">
      <c r="A18" s="4" t="inlineStr">
        <is>
          <t>IK01</t>
        </is>
      </c>
      <c r="B18" s="4" t="n">
        <v>1</v>
      </c>
      <c r="C18" s="4" t="inlineStr">
        <is>
          <t>In-kind</t>
        </is>
      </c>
      <c r="D18" s="4" t="inlineStr">
        <is>
          <t>Setup VOXES disponibile a LNF</t>
        </is>
      </c>
      <c r="E18" s="4" t="inlineStr">
        <is>
          <t>Tubo X, ottica, schermature, movimentazione e DAQ effettivamente disponibili</t>
        </is>
      </c>
      <c r="F18" s="4" t="inlineStr">
        <is>
          <t>WP2/WP3</t>
        </is>
      </c>
      <c r="G18" s="7" t="n">
        <v>0</v>
      </c>
      <c r="H18" s="4" t="n">
        <v>1</v>
      </c>
      <c r="I18" s="7" t="n">
        <v>0</v>
      </c>
      <c r="J18" s="5" t="n"/>
      <c r="K18" s="4" t="inlineStr">
        <is>
          <t>INFN-LNF</t>
        </is>
      </c>
      <c r="L18" s="4" t="inlineStr">
        <is>
          <t>Inventario</t>
        </is>
      </c>
      <c r="M18" s="4" t="inlineStr">
        <is>
          <t>Valorizzare solo componenti realmente utilizzabili</t>
        </is>
      </c>
    </row>
    <row r="19">
      <c r="A19" s="4" t="inlineStr">
        <is>
          <t>IK02</t>
        </is>
      </c>
      <c r="B19" s="4" t="n">
        <v>1</v>
      </c>
      <c r="C19" s="4" t="inlineStr">
        <is>
          <t>In-kind</t>
        </is>
      </c>
      <c r="D19" s="4" t="inlineStr">
        <is>
          <t>Rivelatori già disponibili</t>
        </is>
      </c>
      <c r="E19" s="4" t="inlineStr">
        <is>
          <t>Modello, area attiva, risoluzione e stato operativo</t>
        </is>
      </c>
      <c r="F19" s="4" t="inlineStr">
        <is>
          <t>WP2/WP3</t>
        </is>
      </c>
      <c r="G19" s="7" t="n">
        <v>0</v>
      </c>
      <c r="H19" s="4" t="n">
        <v>1</v>
      </c>
      <c r="I19" s="7" t="n">
        <v>0</v>
      </c>
      <c r="J19" s="5" t="n"/>
      <c r="K19" s="4" t="inlineStr">
        <is>
          <t>INFN-LNF</t>
        </is>
      </c>
      <c r="L19" s="4" t="inlineStr">
        <is>
          <t>Inventario</t>
        </is>
      </c>
      <c r="M19" s="4" t="inlineStr"/>
    </row>
    <row r="20">
      <c r="A20" s="4" t="inlineStr">
        <is>
          <t>IK03</t>
        </is>
      </c>
      <c r="B20" s="4" t="n">
        <v>2</v>
      </c>
      <c r="C20" s="4" t="inlineStr">
        <is>
          <t>In-kind</t>
        </is>
      </c>
      <c r="D20" s="4" t="inlineStr">
        <is>
          <t>Supporto tecnico e infrastrutture</t>
        </is>
      </c>
      <c r="E20" s="4" t="inlineStr">
        <is>
          <t>Officina, laboratorio, sicurezza e servizi tecnici</t>
        </is>
      </c>
      <c r="F20" s="4" t="inlineStr">
        <is>
          <t>WP2/WP4</t>
        </is>
      </c>
      <c r="G20" s="7" t="n">
        <v>0</v>
      </c>
      <c r="H20" s="4" t="n">
        <v>1</v>
      </c>
      <c r="I20" s="7" t="n">
        <v>0</v>
      </c>
      <c r="J20" s="5" t="n"/>
      <c r="K20" s="4" t="inlineStr">
        <is>
          <t>INFN-LNF</t>
        </is>
      </c>
      <c r="L20" s="4" t="inlineStr">
        <is>
          <t>Dichiarazione</t>
        </is>
      </c>
      <c r="M20" s="4" t="inlineStr">
        <is>
          <t>Evitare valorizzazioni non documentabili</t>
        </is>
      </c>
    </row>
  </sheetData>
  <autoFilter ref="A4:M20"/>
  <mergeCells count="2">
    <mergeCell ref="A2:M2"/>
    <mergeCell ref="A1:M1"/>
  </mergeCells>
  <dataValidations count="2">
    <dataValidation sqref="B5:B200" showDropDown="0" showInputMessage="0" showErrorMessage="0" allowBlank="0" type="list">
      <formula1>"1,2"</formula1>
    </dataValidation>
    <dataValidation sqref="C5:C200" showDropDown="0" showInputMessage="0" showErrorMessage="0" allowBlank="0" type="list">
      <formula1>"Attrezzature,Calcolo,Consumi,Servizi,Missioni,Altri costi,In-kind"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23" customWidth="1" min="4" max="4"/>
    <col width="20" customWidth="1" min="5" max="5"/>
  </cols>
  <sheetData>
    <row r="1" ht="26" customHeight="1">
      <c r="A1" s="1" t="inlineStr">
        <is>
          <t>Riepilogo finanziario</t>
        </is>
      </c>
    </row>
    <row r="2">
      <c r="A2" s="8" t="inlineStr">
        <is>
          <t>Il limite annuo è 75.000 €. Le formule leggono il foglio Dettaglio costi.</t>
        </is>
      </c>
    </row>
    <row r="4">
      <c r="A4" s="3" t="inlineStr">
        <is>
          <t>Categoria</t>
        </is>
      </c>
      <c r="B4" s="3" t="inlineStr">
        <is>
          <t>Anno 1</t>
        </is>
      </c>
      <c r="C4" s="3" t="inlineStr">
        <is>
          <t>Anno 2</t>
        </is>
      </c>
      <c r="D4" s="3" t="inlineStr">
        <is>
          <t>Totale richiesto (€)</t>
        </is>
      </c>
      <c r="E4" s="3" t="inlineStr">
        <is>
          <t>Totale in-kind (€)</t>
        </is>
      </c>
    </row>
    <row r="5">
      <c r="A5" s="9" t="inlineStr">
        <is>
          <t>Attrezzature</t>
        </is>
      </c>
      <c r="B5" s="10">
        <f>SUMIFS('Dettaglio costi'!$I$5:$I$200,'Dettaglio costi'!$C$5:$C$200,$A5,'Dettaglio costi'!$B$5:$B$200,B$4)</f>
        <v/>
      </c>
      <c r="C5" s="10">
        <f>SUMIFS('Dettaglio costi'!$I$5:$I$200,'Dettaglio costi'!$C$5:$C$200,$A5,'Dettaglio costi'!$B$5:$B$200,C$4)</f>
        <v/>
      </c>
      <c r="D5" s="10">
        <f>SUM(B5:C5)</f>
        <v/>
      </c>
      <c r="E5" s="10">
        <f>SUMIFS('Dettaglio costi'!$J$5:$J$200,'Dettaglio costi'!$C$5:$C$200,$A5)</f>
        <v/>
      </c>
    </row>
    <row r="6">
      <c r="A6" s="9" t="inlineStr">
        <is>
          <t>Calcolo</t>
        </is>
      </c>
      <c r="B6" s="10">
        <f>SUMIFS('Dettaglio costi'!$I$5:$I$200,'Dettaglio costi'!$C$5:$C$200,$A6,'Dettaglio costi'!$B$5:$B$200,B$4)</f>
        <v/>
      </c>
      <c r="C6" s="10">
        <f>SUMIFS('Dettaglio costi'!$I$5:$I$200,'Dettaglio costi'!$C$5:$C$200,$A6,'Dettaglio costi'!$B$5:$B$200,C$4)</f>
        <v/>
      </c>
      <c r="D6" s="10">
        <f>SUM(B6:C6)</f>
        <v/>
      </c>
      <c r="E6" s="10">
        <f>SUMIFS('Dettaglio costi'!$J$5:$J$200,'Dettaglio costi'!$C$5:$C$200,$A6)</f>
        <v/>
      </c>
    </row>
    <row r="7">
      <c r="A7" s="9" t="inlineStr">
        <is>
          <t>Consumi</t>
        </is>
      </c>
      <c r="B7" s="10">
        <f>SUMIFS('Dettaglio costi'!$I$5:$I$200,'Dettaglio costi'!$C$5:$C$200,$A7,'Dettaglio costi'!$B$5:$B$200,B$4)</f>
        <v/>
      </c>
      <c r="C7" s="10">
        <f>SUMIFS('Dettaglio costi'!$I$5:$I$200,'Dettaglio costi'!$C$5:$C$200,$A7,'Dettaglio costi'!$B$5:$B$200,C$4)</f>
        <v/>
      </c>
      <c r="D7" s="10">
        <f>SUM(B7:C7)</f>
        <v/>
      </c>
      <c r="E7" s="10">
        <f>SUMIFS('Dettaglio costi'!$J$5:$J$200,'Dettaglio costi'!$C$5:$C$200,$A7)</f>
        <v/>
      </c>
    </row>
    <row r="8">
      <c r="A8" s="9" t="inlineStr">
        <is>
          <t>Servizi</t>
        </is>
      </c>
      <c r="B8" s="10">
        <f>SUMIFS('Dettaglio costi'!$I$5:$I$200,'Dettaglio costi'!$C$5:$C$200,$A8,'Dettaglio costi'!$B$5:$B$200,B$4)</f>
        <v/>
      </c>
      <c r="C8" s="10">
        <f>SUMIFS('Dettaglio costi'!$I$5:$I$200,'Dettaglio costi'!$C$5:$C$200,$A8,'Dettaglio costi'!$B$5:$B$200,C$4)</f>
        <v/>
      </c>
      <c r="D8" s="10">
        <f>SUM(B8:C8)</f>
        <v/>
      </c>
      <c r="E8" s="10">
        <f>SUMIFS('Dettaglio costi'!$J$5:$J$200,'Dettaglio costi'!$C$5:$C$200,$A8)</f>
        <v/>
      </c>
    </row>
    <row r="9">
      <c r="A9" s="9" t="inlineStr">
        <is>
          <t>Missioni</t>
        </is>
      </c>
      <c r="B9" s="10">
        <f>SUMIFS('Dettaglio costi'!$I$5:$I$200,'Dettaglio costi'!$C$5:$C$200,$A9,'Dettaglio costi'!$B$5:$B$200,B$4)</f>
        <v/>
      </c>
      <c r="C9" s="10">
        <f>SUMIFS('Dettaglio costi'!$I$5:$I$200,'Dettaglio costi'!$C$5:$C$200,$A9,'Dettaglio costi'!$B$5:$B$200,C$4)</f>
        <v/>
      </c>
      <c r="D9" s="10">
        <f>SUM(B9:C9)</f>
        <v/>
      </c>
      <c r="E9" s="10">
        <f>SUMIFS('Dettaglio costi'!$J$5:$J$200,'Dettaglio costi'!$C$5:$C$200,$A9)</f>
        <v/>
      </c>
    </row>
    <row r="10">
      <c r="A10" s="9" t="inlineStr">
        <is>
          <t>Altri costi</t>
        </is>
      </c>
      <c r="B10" s="10">
        <f>SUMIFS('Dettaglio costi'!$I$5:$I$200,'Dettaglio costi'!$C$5:$C$200,$A10,'Dettaglio costi'!$B$5:$B$200,B$4)</f>
        <v/>
      </c>
      <c r="C10" s="10">
        <f>SUMIFS('Dettaglio costi'!$I$5:$I$200,'Dettaglio costi'!$C$5:$C$200,$A10,'Dettaglio costi'!$B$5:$B$200,C$4)</f>
        <v/>
      </c>
      <c r="D10" s="10">
        <f>SUM(B10:C10)</f>
        <v/>
      </c>
      <c r="E10" s="10">
        <f>SUMIFS('Dettaglio costi'!$J$5:$J$200,'Dettaglio costi'!$C$5:$C$200,$A10)</f>
        <v/>
      </c>
    </row>
    <row r="11">
      <c r="A11" s="11" t="inlineStr">
        <is>
          <t>TOTALE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</row>
    <row r="12">
      <c r="A12" s="9" t="n"/>
      <c r="B12" s="10" t="n"/>
      <c r="C12" s="10" t="n"/>
      <c r="D12" s="10" t="n"/>
      <c r="E12" s="10" t="n"/>
    </row>
    <row r="13">
      <c r="A13" s="9" t="inlineStr">
        <is>
          <t>Margine rispetto al limite annuo</t>
        </is>
      </c>
      <c r="B13" s="10">
        <f>75000-B11</f>
        <v/>
      </c>
      <c r="C13" s="10">
        <f>75000-C11</f>
        <v/>
      </c>
      <c r="D13" s="10" t="n"/>
      <c r="E13" s="10" t="n"/>
    </row>
    <row r="14">
      <c r="A14" s="9" t="inlineStr">
        <is>
          <t>Verifica limite</t>
        </is>
      </c>
      <c r="B14" s="9">
        <f>IF(B11&lt;=75000,"OK","SUPERATO")</f>
        <v/>
      </c>
      <c r="C14" s="9">
        <f>IF(C11&lt;=75000,"OK","SUPERATO")</f>
        <v/>
      </c>
      <c r="D14" s="9" t="n"/>
      <c r="E14" s="9" t="n"/>
    </row>
  </sheetData>
  <mergeCells count="2">
    <mergeCell ref="A2:E2"/>
    <mergeCell ref="A1:E1"/>
  </mergeCells>
  <conditionalFormatting sqref="B14:C14">
    <cfRule type="cellIs" priority="1" operator="equal" dxfId="0">
      <formula>"SUPERATO"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13" customWidth="1" min="4" max="4"/>
    <col width="21" customWidth="1" min="5" max="5"/>
    <col width="16" customWidth="1" min="6" max="6"/>
    <col width="34" customWidth="1" min="7" max="7"/>
    <col width="38" customWidth="1" min="8" max="8"/>
  </cols>
  <sheetData>
    <row r="1" ht="26" customHeight="1">
      <c r="A1" s="1" t="inlineStr">
        <is>
          <t>Registro preventivi</t>
        </is>
      </c>
    </row>
    <row r="3">
      <c r="A3" s="3" t="inlineStr">
        <is>
          <t>Codice</t>
        </is>
      </c>
      <c r="B3" s="3" t="inlineStr">
        <is>
          <t>Voce collegata</t>
        </is>
      </c>
      <c r="C3" s="3" t="inlineStr">
        <is>
          <t>Fornitore</t>
        </is>
      </c>
      <c r="D3" s="3" t="inlineStr">
        <is>
          <t>Data</t>
        </is>
      </c>
      <c r="E3" s="3" t="inlineStr">
        <is>
          <t>Importo IVA incl. (€)</t>
        </is>
      </c>
      <c r="F3" s="3" t="inlineStr">
        <is>
          <t>Validità</t>
        </is>
      </c>
      <c r="G3" s="3" t="inlineStr">
        <is>
          <t>File / riferimento</t>
        </is>
      </c>
      <c r="H3" s="3" t="inlineStr">
        <is>
          <t>Stato e note</t>
        </is>
      </c>
    </row>
    <row r="4">
      <c r="A4" s="4" t="inlineStr">
        <is>
          <t>Q01</t>
        </is>
      </c>
      <c r="B4" s="6" t="n"/>
      <c r="C4" s="6" t="n"/>
      <c r="D4" s="6" t="n"/>
      <c r="E4" s="5" t="n"/>
      <c r="F4" s="6" t="n"/>
      <c r="G4" s="6" t="n"/>
      <c r="H4" s="6" t="n"/>
    </row>
    <row r="5">
      <c r="A5" s="4" t="inlineStr">
        <is>
          <t>Q02</t>
        </is>
      </c>
      <c r="B5" s="6" t="n"/>
      <c r="C5" s="6" t="n"/>
      <c r="D5" s="6" t="n"/>
      <c r="E5" s="5" t="n"/>
      <c r="F5" s="6" t="n"/>
      <c r="G5" s="6" t="n"/>
      <c r="H5" s="6" t="n"/>
    </row>
    <row r="6">
      <c r="A6" s="4" t="inlineStr">
        <is>
          <t>Q03</t>
        </is>
      </c>
      <c r="B6" s="6" t="n"/>
      <c r="C6" s="6" t="n"/>
      <c r="D6" s="6" t="n"/>
      <c r="E6" s="5" t="n"/>
      <c r="F6" s="6" t="n"/>
      <c r="G6" s="6" t="n"/>
      <c r="H6" s="6" t="n"/>
    </row>
    <row r="7">
      <c r="A7" s="4" t="inlineStr">
        <is>
          <t>Q04</t>
        </is>
      </c>
      <c r="B7" s="6" t="n"/>
      <c r="C7" s="6" t="n"/>
      <c r="D7" s="6" t="n"/>
      <c r="E7" s="5" t="n"/>
      <c r="F7" s="6" t="n"/>
      <c r="G7" s="6" t="n"/>
      <c r="H7" s="6" t="n"/>
    </row>
    <row r="8">
      <c r="A8" s="4" t="inlineStr">
        <is>
          <t>Q05</t>
        </is>
      </c>
      <c r="B8" s="6" t="n"/>
      <c r="C8" s="6" t="n"/>
      <c r="D8" s="6" t="n"/>
      <c r="E8" s="5" t="n"/>
      <c r="F8" s="6" t="n"/>
      <c r="G8" s="6" t="n"/>
      <c r="H8" s="6" t="n"/>
    </row>
    <row r="9">
      <c r="A9" s="4" t="inlineStr">
        <is>
          <t>Q06</t>
        </is>
      </c>
      <c r="B9" s="6" t="n"/>
      <c r="C9" s="6" t="n"/>
      <c r="D9" s="6" t="n"/>
      <c r="E9" s="5" t="n"/>
      <c r="F9" s="6" t="n"/>
      <c r="G9" s="6" t="n"/>
      <c r="H9" s="6" t="n"/>
    </row>
    <row r="10">
      <c r="A10" s="4" t="inlineStr">
        <is>
          <t>Q07</t>
        </is>
      </c>
      <c r="B10" s="6" t="n"/>
      <c r="C10" s="6" t="n"/>
      <c r="D10" s="6" t="n"/>
      <c r="E10" s="5" t="n"/>
      <c r="F10" s="6" t="n"/>
      <c r="G10" s="6" t="n"/>
      <c r="H10" s="6" t="n"/>
    </row>
    <row r="11">
      <c r="A11" s="4" t="inlineStr">
        <is>
          <t>Q08</t>
        </is>
      </c>
      <c r="B11" s="6" t="n"/>
      <c r="C11" s="6" t="n"/>
      <c r="D11" s="6" t="n"/>
      <c r="E11" s="5" t="n"/>
      <c r="F11" s="6" t="n"/>
      <c r="G11" s="6" t="n"/>
      <c r="H11" s="6" t="n"/>
    </row>
    <row r="14">
      <c r="A14" t="inlineStr">
        <is>
          <t>Nota</t>
        </is>
      </c>
      <c r="B14" s="2" t="inlineStr">
        <is>
          <t>Il template richiede un preventivo per le attrezzature e un preventivo dettagliato per ogni voce superiore a 2.000 €.</t>
        </is>
      </c>
    </row>
  </sheetData>
  <mergeCells count="2">
    <mergeCell ref="B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26" customHeight="1">
      <c r="A1" s="1" t="inlineStr">
        <is>
          <t>Istruzioni per il budget</t>
        </is>
      </c>
    </row>
    <row r="3">
      <c r="A3" s="13" t="inlineStr">
        <is>
          <t>Vincolo</t>
        </is>
      </c>
      <c r="B3" s="4" t="inlineStr">
        <is>
          <t>Massimo 75.000 € per ciascun anno; durata del progetto: 24 mesi.</t>
        </is>
      </c>
    </row>
    <row r="4">
      <c r="A4" s="13" t="inlineStr">
        <is>
          <t>Dettaglio</t>
        </is>
      </c>
      <c r="B4" s="4" t="inlineStr">
        <is>
          <t>Riportare la richiesta per ogni anno e descrivere ogni voce in modo verificabile.</t>
        </is>
      </c>
    </row>
    <row r="5">
      <c r="A5" s="13" t="inlineStr">
        <is>
          <t>Preventivi</t>
        </is>
      </c>
      <c r="B5" s="4" t="inlineStr">
        <is>
          <t>Allegare un preventivo per le attrezzature e per ogni singola voce superiore a 2.000 €.</t>
        </is>
      </c>
    </row>
    <row r="6">
      <c r="A6" s="13" t="inlineStr">
        <is>
          <t>Missioni</t>
        </is>
      </c>
      <c r="B6" s="4" t="inlineStr">
        <is>
          <t>Separare attività sperimentali, riunioni e conferenze. Per le conferenze indicare quella prevista e la presentazione orale.</t>
        </is>
      </c>
    </row>
    <row r="7">
      <c r="A7" s="13" t="inlineStr">
        <is>
          <t>In-kind</t>
        </is>
      </c>
      <c r="B7" s="4" t="inlineStr">
        <is>
          <t>Tenere distinti i costi richiesti dalle risorse già disponibili; valorizzare soltanto contributi documentabili.</t>
        </is>
      </c>
    </row>
    <row r="8">
      <c r="A8" s="13" t="inlineStr">
        <is>
          <t>Coerenza</t>
        </is>
      </c>
      <c r="B8" s="4" t="inlineStr">
        <is>
          <t>Collegare ogni costo a WP, task, deliverable o requisito tecnico; evitare voci generiche.</t>
        </is>
      </c>
    </row>
    <row r="9">
      <c r="A9" s="13" t="inlineStr">
        <is>
          <t>Esclusioni</t>
        </is>
      </c>
      <c r="B9" s="4" t="inlineStr">
        <is>
          <t>Il progetto non può finanziare borse, contratti di ricerca o incarichi a terzi.</t>
        </is>
      </c>
    </row>
    <row r="10">
      <c r="A10" s="13" t="inlineStr">
        <is>
          <t>Celle gialle</t>
        </is>
      </c>
      <c r="B10" s="4" t="inlineStr">
        <is>
          <t>Sono campi da compilare o verificare. Le celle con formule non devono essere sovrascritte.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2026-07-11T15:21:37Z</dcterms:created>
  <dcterms:modified xmlns:dcterms="http://purl.org/dc/terms/" xmlns:xsi="http://www.w3.org/2001/XMLSchema-instance" xsi:type="dcterms:W3CDTF">2026-07-11T15:21:37Z</dcterms:modified>
</cp:coreProperties>
</file>